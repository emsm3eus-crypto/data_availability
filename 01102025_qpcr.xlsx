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GBW-0173_Transport ATPase group\0035_Emily_Meeus_u0171728\qPCR\15102025_CTRLDFMO_n3_bt474STD\"/>
    </mc:Choice>
  </mc:AlternateContent>
  <xr:revisionPtr revIDLastSave="0" documentId="13_ncr:1_{629B6AE5-1C21-4C22-89C2-D16CFE44B323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0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12" i="1" l="1"/>
  <c r="BE12" i="1"/>
  <c r="BF12" i="1"/>
  <c r="BG12" i="1"/>
  <c r="BH12" i="1"/>
  <c r="BD13" i="1"/>
  <c r="BE13" i="1"/>
  <c r="BF13" i="1"/>
  <c r="BG13" i="1"/>
  <c r="BH13" i="1"/>
  <c r="BC13" i="1"/>
  <c r="BC12" i="1"/>
  <c r="BD9" i="1"/>
  <c r="BE9" i="1"/>
  <c r="BF9" i="1"/>
  <c r="BG9" i="1"/>
  <c r="BH9" i="1"/>
  <c r="BD10" i="1"/>
  <c r="BE10" i="1"/>
  <c r="BF10" i="1"/>
  <c r="BG10" i="1"/>
  <c r="BH10" i="1"/>
  <c r="BC10" i="1"/>
  <c r="BC9" i="1"/>
  <c r="BD6" i="1"/>
  <c r="BE6" i="1"/>
  <c r="BF6" i="1"/>
  <c r="BG6" i="1"/>
  <c r="BH6" i="1"/>
  <c r="BD7" i="1"/>
  <c r="BE7" i="1"/>
  <c r="BF7" i="1"/>
  <c r="BG7" i="1"/>
  <c r="BH7" i="1"/>
  <c r="BC7" i="1"/>
  <c r="BC6" i="1"/>
  <c r="AV13" i="1"/>
  <c r="AW13" i="1"/>
  <c r="AX13" i="1"/>
  <c r="AY13" i="1"/>
  <c r="AZ13" i="1"/>
  <c r="BA13" i="1"/>
  <c r="AW12" i="1"/>
  <c r="AX12" i="1"/>
  <c r="AY12" i="1"/>
  <c r="AZ12" i="1"/>
  <c r="BA12" i="1"/>
  <c r="AV12" i="1"/>
  <c r="AV10" i="1"/>
  <c r="AW10" i="1"/>
  <c r="AX10" i="1"/>
  <c r="AY10" i="1"/>
  <c r="AZ10" i="1"/>
  <c r="BA10" i="1"/>
  <c r="AW9" i="1"/>
  <c r="AX9" i="1"/>
  <c r="AY9" i="1"/>
  <c r="AZ9" i="1"/>
  <c r="BA9" i="1"/>
  <c r="AV9" i="1"/>
  <c r="BA7" i="1"/>
  <c r="AV7" i="1"/>
  <c r="AW7" i="1"/>
  <c r="AX7" i="1"/>
  <c r="AY7" i="1"/>
  <c r="AZ7" i="1"/>
  <c r="AW6" i="1"/>
  <c r="AX6" i="1"/>
  <c r="AY6" i="1"/>
  <c r="AZ6" i="1"/>
  <c r="BA6" i="1"/>
  <c r="AV6" i="1"/>
</calcChain>
</file>

<file path=xl/sharedStrings.xml><?xml version="1.0" encoding="utf-8"?>
<sst xmlns="http://schemas.openxmlformats.org/spreadsheetml/2006/main" count="247" uniqueCount="70">
  <si>
    <t>Data Set</t>
  </si>
  <si>
    <t>Target</t>
  </si>
  <si>
    <t>Sample Biological Group</t>
  </si>
  <si>
    <t>Control</t>
  </si>
  <si>
    <t>Relative Quantity</t>
  </si>
  <si>
    <t>Relative Quantity(lg)</t>
  </si>
  <si>
    <t>Relative Quantity SD</t>
  </si>
  <si>
    <t>Corrected Relative Quantity SD</t>
  </si>
  <si>
    <t>SD RQ(lg)</t>
  </si>
  <si>
    <t>Relative Quantity SEM</t>
  </si>
  <si>
    <t>Corrected Relative Quantity SEM</t>
  </si>
  <si>
    <t>SEM RQ(lg)</t>
  </si>
  <si>
    <t>Relative Quantity 95% CI Low</t>
  </si>
  <si>
    <t>Relative Quantity 95% CI High</t>
  </si>
  <si>
    <t>Unscaled Expression</t>
  </si>
  <si>
    <t>Unscaled Expression(lg)</t>
  </si>
  <si>
    <t>Unscaled Expression SD</t>
  </si>
  <si>
    <t>Corrected Unscaled Expression SD</t>
  </si>
  <si>
    <t>SD Unscaled Expression(lg)</t>
  </si>
  <si>
    <t>Unscaled Expression SEM</t>
  </si>
  <si>
    <t>Corrected Unscaled Expression SEM</t>
  </si>
  <si>
    <t>SEM Unscaled Expression(lg)</t>
  </si>
  <si>
    <t>Expression</t>
  </si>
  <si>
    <t>Expression(lg)</t>
  </si>
  <si>
    <t>Expression SD</t>
  </si>
  <si>
    <t>Corrected Expression SD</t>
  </si>
  <si>
    <t>SD Expression(lg)</t>
  </si>
  <si>
    <t>Expression SEM</t>
  </si>
  <si>
    <t>Corrected Expression SEM</t>
  </si>
  <si>
    <t>SEM Expression(lg)</t>
  </si>
  <si>
    <t>Expression 95% CI Low</t>
  </si>
  <si>
    <t>Expression 95% CI High</t>
  </si>
  <si>
    <t>Wells</t>
  </si>
  <si>
    <t>Mean Cq</t>
  </si>
  <si>
    <t>Cq SD</t>
  </si>
  <si>
    <t>Cq SEM</t>
  </si>
  <si>
    <t>P-Value</t>
  </si>
  <si>
    <t>2-GAPDH</t>
  </si>
  <si>
    <t>GAPDH</t>
  </si>
  <si>
    <t>BT474_CTRL</t>
  </si>
  <si>
    <t/>
  </si>
  <si>
    <t>BT474_DFMO</t>
  </si>
  <si>
    <t>MCF10A_CTRL</t>
  </si>
  <si>
    <t>MCF10A_DFMO</t>
  </si>
  <si>
    <t>MCF7_CTRL</t>
  </si>
  <si>
    <t>MCF7_DFMO</t>
  </si>
  <si>
    <t>MDAMB231_CTRL</t>
  </si>
  <si>
    <t>MDAMB231_DFMO</t>
  </si>
  <si>
    <t>MDAMB453_CTRL</t>
  </si>
  <si>
    <t>MDAMB453_DFMO</t>
  </si>
  <si>
    <t>SUM149PT_CTRL</t>
  </si>
  <si>
    <t>SUM149PT_DFMO</t>
  </si>
  <si>
    <t>1-hATP13A2</t>
  </si>
  <si>
    <t>hATP13A2</t>
  </si>
  <si>
    <t>1-hATP13A3</t>
  </si>
  <si>
    <t>hATP13A3</t>
  </si>
  <si>
    <t>2-hATP13A4</t>
  </si>
  <si>
    <t>hATP13A4</t>
  </si>
  <si>
    <t>Gapdh</t>
  </si>
  <si>
    <t>MCF10a</t>
  </si>
  <si>
    <t>mcf7</t>
  </si>
  <si>
    <t>bt474</t>
  </si>
  <si>
    <t>mdamb231</t>
  </si>
  <si>
    <t>mdamb453</t>
  </si>
  <si>
    <t>sum149pt</t>
  </si>
  <si>
    <t>CTRL</t>
  </si>
  <si>
    <t>DFMO</t>
  </si>
  <si>
    <t>atp13a2</t>
  </si>
  <si>
    <t>atp13a3</t>
  </si>
  <si>
    <t>atp13a4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</si>
</sst>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.00000;\-###0.00000"/>
    <numFmt numFmtId="165" formatCode="###0;\-###0"/>
    <numFmt numFmtId="166" formatCode="###0.00;\-###0.00"/>
    <numFmt numFmtId="167" formatCode="###0.000000;\-###0.000000"/>
  </numFmts>
  <fonts count="19" x14ac:knownFonts="1">
    <font>
      <sz val="8.25"/>
      <name val="Microsoft Sans Serif"/>
      <charset val="1"/>
    </font>
    <font>
      <sz val="8.25"/>
      <name val="Microsoft Sans Serif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  <charset val="1"/>
    </font>
    <font>
      <sz val="8.25"/>
      <name val="Microsoft Sans Serif"/>
    </font>
    <font>
      <sz val="8.25"/>
      <name val="Microsoft Sans Serif"/>
    </font>
    <font>
      <sz val="8.25"/>
      <name val="Microsoft Sans Serif"/>
    </font>
    <font>
      <sz val="8.25"/>
      <name val="Microsoft Sans Serif"/>
    </font>
    <font>
      <sz val="8.25"/>
      <name val="Microsoft Sans Serif"/>
    </font>
    <font>
      <b/>
      <sz val="8.25"/>
      <name val="Microsoft Sans Serif"/>
      <family val="2"/>
    </font>
    <font>
      <sz val="8.25"/>
      <name val="Microsoft Sans Serif"/>
      <family val="2"/>
    </font>
  </fonts>
  <fills count="9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49">
    <xf numFmtId="0" fontId="0" fillId="0" borderId="0" xfId="0" applyFont="1" applyFill="1" applyBorder="1" applyAlignment="1" applyProtection="1">
      <alignment vertical="top"/>
      <protection locked="0"/>
    </xf>
    <xf numFmtId="0" fontId="1" fillId="0" borderId="0" xfId="0" applyFont="1" applyFill="1" applyBorder="1" applyAlignment="1" applyProtection="1">
      <alignment vertical="center"/>
    </xf>
    <xf numFmtId="0" fontId="2" fillId="2" borderId="0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Border="1" applyAlignment="1" applyProtection="1">
      <alignment horizontal="center" vertical="center" wrapText="1"/>
      <protection locked="0"/>
    </xf>
    <xf numFmtId="0" fontId="4" fillId="3" borderId="0" xfId="0" applyFont="1" applyFill="1" applyBorder="1" applyAlignment="1" applyProtection="1">
      <alignment horizontal="center" vertical="center"/>
      <protection locked="0"/>
    </xf>
    <xf numFmtId="49" fontId="5" fillId="4" borderId="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vertical="center"/>
    </xf>
    <xf numFmtId="49" fontId="7" fillId="0" borderId="0" xfId="0" applyNumberFormat="1" applyFont="1" applyFill="1" applyBorder="1" applyAlignment="1" applyProtection="1">
      <alignment vertical="center"/>
    </xf>
    <xf numFmtId="167" fontId="11" fillId="0" borderId="0" xfId="0" applyNumberFormat="1" applyFont="1" applyFill="1" applyBorder="1" applyAlignment="1" applyProtection="1">
      <alignment vertical="center"/>
    </xf>
    <xf numFmtId="49" fontId="12" fillId="0" borderId="0" xfId="0" applyNumberFormat="1" applyFont="1" applyFill="1" applyBorder="1" applyAlignment="1" applyProtection="1">
      <alignment vertical="center"/>
    </xf>
    <xf numFmtId="164" fontId="13" fillId="0" borderId="0" xfId="0" applyNumberFormat="1" applyFont="1" applyFill="1" applyBorder="1" applyAlignment="1" applyProtection="1">
      <alignment vertical="center"/>
    </xf>
    <xf numFmtId="165" fontId="14" fillId="0" borderId="0" xfId="0" applyNumberFormat="1" applyFont="1" applyFill="1" applyBorder="1" applyAlignment="1" applyProtection="1">
      <alignment vertical="center"/>
    </xf>
    <xf numFmtId="166" fontId="15" fillId="0" borderId="0" xfId="0" applyNumberFormat="1" applyFont="1" applyFill="1" applyBorder="1" applyAlignment="1" applyProtection="1">
      <alignment vertical="center"/>
    </xf>
    <xf numFmtId="167" fontId="16" fillId="0" borderId="0" xfId="0" applyNumberFormat="1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Fill="1" applyBorder="1" applyAlignment="1" applyProtection="1">
      <alignment vertical="center"/>
    </xf>
    <xf numFmtId="167" fontId="18" fillId="0" borderId="0" xfId="0" applyNumberFormat="1" applyFont="1" applyFill="1" applyBorder="1" applyAlignment="1" applyProtection="1">
      <alignment vertical="center"/>
    </xf>
    <xf numFmtId="49" fontId="12" fillId="5" borderId="0" xfId="0" applyNumberFormat="1" applyFont="1" applyFill="1" applyBorder="1" applyAlignment="1" applyProtection="1">
      <alignment vertical="center"/>
    </xf>
    <xf numFmtId="164" fontId="13" fillId="5" borderId="0" xfId="0" applyNumberFormat="1" applyFont="1" applyFill="1" applyBorder="1" applyAlignment="1" applyProtection="1">
      <alignment vertical="center"/>
    </xf>
    <xf numFmtId="165" fontId="14" fillId="5" borderId="0" xfId="0" applyNumberFormat="1" applyFont="1" applyFill="1" applyBorder="1" applyAlignment="1" applyProtection="1">
      <alignment vertical="center"/>
    </xf>
    <xf numFmtId="166" fontId="15" fillId="5" borderId="0" xfId="0" applyNumberFormat="1" applyFont="1" applyFill="1" applyBorder="1" applyAlignment="1" applyProtection="1">
      <alignment vertical="center"/>
    </xf>
    <xf numFmtId="49" fontId="7" fillId="5" borderId="0" xfId="0" applyNumberFormat="1" applyFont="1" applyFill="1" applyBorder="1" applyAlignment="1" applyProtection="1">
      <alignment vertical="center"/>
    </xf>
    <xf numFmtId="164" fontId="8" fillId="5" borderId="0" xfId="0" applyNumberFormat="1" applyFont="1" applyFill="1" applyBorder="1" applyAlignment="1" applyProtection="1">
      <alignment vertical="center"/>
    </xf>
    <xf numFmtId="165" fontId="9" fillId="5" borderId="0" xfId="0" applyNumberFormat="1" applyFont="1" applyFill="1" applyBorder="1" applyAlignment="1" applyProtection="1">
      <alignment vertical="center"/>
    </xf>
    <xf numFmtId="166" fontId="10" fillId="5" borderId="0" xfId="0" applyNumberFormat="1" applyFont="1" applyFill="1" applyBorder="1" applyAlignment="1" applyProtection="1">
      <alignment vertical="center"/>
    </xf>
    <xf numFmtId="49" fontId="12" fillId="6" borderId="0" xfId="0" applyNumberFormat="1" applyFont="1" applyFill="1" applyBorder="1" applyAlignment="1" applyProtection="1">
      <alignment vertical="center"/>
    </xf>
    <xf numFmtId="164" fontId="13" fillId="6" borderId="0" xfId="0" applyNumberFormat="1" applyFont="1" applyFill="1" applyBorder="1" applyAlignment="1" applyProtection="1">
      <alignment vertical="center"/>
    </xf>
    <xf numFmtId="165" fontId="14" fillId="6" borderId="0" xfId="0" applyNumberFormat="1" applyFont="1" applyFill="1" applyBorder="1" applyAlignment="1" applyProtection="1">
      <alignment vertical="center"/>
    </xf>
    <xf numFmtId="166" fontId="15" fillId="6" borderId="0" xfId="0" applyNumberFormat="1" applyFont="1" applyFill="1" applyBorder="1" applyAlignment="1" applyProtection="1">
      <alignment vertical="center"/>
    </xf>
    <xf numFmtId="49" fontId="7" fillId="6" borderId="0" xfId="0" applyNumberFormat="1" applyFont="1" applyFill="1" applyBorder="1" applyAlignment="1" applyProtection="1">
      <alignment vertical="center"/>
    </xf>
    <xf numFmtId="164" fontId="8" fillId="6" borderId="0" xfId="0" applyNumberFormat="1" applyFont="1" applyFill="1" applyBorder="1" applyAlignment="1" applyProtection="1">
      <alignment vertical="center"/>
    </xf>
    <xf numFmtId="165" fontId="9" fillId="6" borderId="0" xfId="0" applyNumberFormat="1" applyFont="1" applyFill="1" applyBorder="1" applyAlignment="1" applyProtection="1">
      <alignment vertical="center"/>
    </xf>
    <xf numFmtId="166" fontId="10" fillId="6" borderId="0" xfId="0" applyNumberFormat="1" applyFont="1" applyFill="1" applyBorder="1" applyAlignment="1" applyProtection="1">
      <alignment vertical="center"/>
    </xf>
    <xf numFmtId="49" fontId="12" fillId="7" borderId="0" xfId="0" applyNumberFormat="1" applyFont="1" applyFill="1" applyBorder="1" applyAlignment="1" applyProtection="1">
      <alignment vertical="center"/>
    </xf>
    <xf numFmtId="164" fontId="13" fillId="7" borderId="0" xfId="0" applyNumberFormat="1" applyFont="1" applyFill="1" applyBorder="1" applyAlignment="1" applyProtection="1">
      <alignment vertical="center"/>
    </xf>
    <xf numFmtId="165" fontId="14" fillId="7" borderId="0" xfId="0" applyNumberFormat="1" applyFont="1" applyFill="1" applyBorder="1" applyAlignment="1" applyProtection="1">
      <alignment vertical="center"/>
    </xf>
    <xf numFmtId="166" fontId="15" fillId="7" borderId="0" xfId="0" applyNumberFormat="1" applyFont="1" applyFill="1" applyBorder="1" applyAlignment="1" applyProtection="1">
      <alignment vertical="center"/>
    </xf>
    <xf numFmtId="49" fontId="7" fillId="7" borderId="0" xfId="0" applyNumberFormat="1" applyFont="1" applyFill="1" applyBorder="1" applyAlignment="1" applyProtection="1">
      <alignment vertical="center"/>
    </xf>
    <xf numFmtId="164" fontId="8" fillId="7" borderId="0" xfId="0" applyNumberFormat="1" applyFont="1" applyFill="1" applyBorder="1" applyAlignment="1" applyProtection="1">
      <alignment vertical="center"/>
    </xf>
    <xf numFmtId="165" fontId="9" fillId="7" borderId="0" xfId="0" applyNumberFormat="1" applyFont="1" applyFill="1" applyBorder="1" applyAlignment="1" applyProtection="1">
      <alignment vertical="center"/>
    </xf>
    <xf numFmtId="166" fontId="10" fillId="7" borderId="0" xfId="0" applyNumberFormat="1" applyFont="1" applyFill="1" applyBorder="1" applyAlignment="1" applyProtection="1">
      <alignment vertical="center"/>
    </xf>
    <xf numFmtId="49" fontId="7" fillId="8" borderId="0" xfId="0" applyNumberFormat="1" applyFont="1" applyFill="1" applyBorder="1" applyAlignment="1" applyProtection="1">
      <alignment vertical="center"/>
    </xf>
    <xf numFmtId="164" fontId="8" fillId="8" borderId="0" xfId="0" applyNumberFormat="1" applyFont="1" applyFill="1" applyBorder="1" applyAlignment="1" applyProtection="1">
      <alignment vertical="center"/>
    </xf>
    <xf numFmtId="165" fontId="9" fillId="8" borderId="0" xfId="0" applyNumberFormat="1" applyFont="1" applyFill="1" applyBorder="1" applyAlignment="1" applyProtection="1">
      <alignment vertical="center"/>
    </xf>
    <xf numFmtId="166" fontId="10" fillId="8" borderId="0" xfId="0" applyNumberFormat="1" applyFont="1" applyFill="1" applyBorder="1" applyAlignment="1" applyProtection="1">
      <alignment vertical="center"/>
    </xf>
    <xf numFmtId="49" fontId="12" fillId="8" borderId="0" xfId="0" applyNumberFormat="1" applyFont="1" applyFill="1" applyBorder="1" applyAlignment="1" applyProtection="1">
      <alignment vertical="center"/>
    </xf>
    <xf numFmtId="164" fontId="13" fillId="8" borderId="0" xfId="0" applyNumberFormat="1" applyFont="1" applyFill="1" applyBorder="1" applyAlignment="1" applyProtection="1">
      <alignment vertical="center"/>
    </xf>
    <xf numFmtId="165" fontId="14" fillId="8" borderId="0" xfId="0" applyNumberFormat="1" applyFont="1" applyFill="1" applyBorder="1" applyAlignment="1" applyProtection="1">
      <alignment vertical="center"/>
    </xf>
    <xf numFmtId="166" fontId="15" fillId="8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9"/>
  <sheetViews>
    <sheetView tabSelected="1" zoomScale="68" workbookViewId="0">
      <pane xSplit="1" ySplit="1" topLeftCell="C2" activePane="bottomRight" state="frozen"/>
      <selection activeCell="B2" sqref="B2"/>
      <selection pane="topRight" activeCell="B2" sqref="B2"/>
      <selection pane="bottomLeft" activeCell="B2" sqref="B2"/>
      <selection pane="bottomRight" activeCell="BH12" sqref="BH12:BH13"/>
    </sheetView>
  </sheetViews>
  <sheetFormatPr defaultColWidth="10" defaultRowHeight="15" customHeight="1" x14ac:dyDescent="0.25"/>
  <cols>
    <col min="1" max="1" width="1.44140625" style="4" customWidth="1"/>
    <col min="2" max="2" width="25" style="9" hidden="1" customWidth="1"/>
    <col min="3" max="3" width="13.33203125" style="9" customWidth="1"/>
    <col min="4" max="4" width="20" style="9" customWidth="1"/>
    <col min="5" max="5" width="10" style="9" customWidth="1"/>
    <col min="6" max="6" width="15" style="10" customWidth="1"/>
    <col min="7" max="10" width="15" style="10" hidden="1" customWidth="1"/>
    <col min="11" max="12" width="15" style="10" customWidth="1"/>
    <col min="13" max="33" width="15" style="10" hidden="1" customWidth="1"/>
    <col min="34" max="34" width="15" style="11" hidden="1" customWidth="1"/>
    <col min="35" max="35" width="15" style="12" customWidth="1"/>
    <col min="36" max="36" width="15" style="10" hidden="1" customWidth="1"/>
    <col min="37" max="37" width="15" style="10" customWidth="1"/>
    <col min="38" max="39" width="15" style="13" customWidth="1"/>
    <col min="40" max="40" width="10" style="1" customWidth="1"/>
    <col min="41" max="16384" width="10" style="1"/>
  </cols>
  <sheetData>
    <row r="1" spans="1:60" s="2" customFormat="1" ht="41.25" customHeight="1" x14ac:dyDescent="0.25">
      <c r="A1" s="5"/>
      <c r="B1" s="3" t="s">
        <v>0</v>
      </c>
      <c r="C1" s="3" t="s">
        <v>1</v>
      </c>
      <c r="D1" s="3" t="s">
        <v>2</v>
      </c>
      <c r="E1" s="3" t="s">
        <v>3</v>
      </c>
      <c r="F1" s="14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/>
    </row>
    <row r="2" spans="1:60" ht="15" customHeight="1" x14ac:dyDescent="0.25">
      <c r="B2" s="9" t="s">
        <v>37</v>
      </c>
      <c r="C2" s="17" t="s">
        <v>38</v>
      </c>
      <c r="D2" s="17" t="s">
        <v>39</v>
      </c>
      <c r="E2" s="17" t="s">
        <v>40</v>
      </c>
      <c r="F2" s="18">
        <v>0.73895631017488395</v>
      </c>
      <c r="G2" s="18">
        <v>-0.436439025451405</v>
      </c>
      <c r="H2" s="18">
        <v>1.1843751640792E-3</v>
      </c>
      <c r="I2" s="18">
        <v>1.7321392773364901E-3</v>
      </c>
      <c r="J2" s="18"/>
      <c r="K2" s="18">
        <v>8.3747970998932896E-4</v>
      </c>
      <c r="L2" s="18">
        <v>1.2248074289641999E-3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9">
        <v>2</v>
      </c>
      <c r="AI2" s="20">
        <v>14.5121897118691</v>
      </c>
      <c r="AJ2" s="18">
        <v>2.4646519184239601E-3</v>
      </c>
      <c r="AK2" s="18">
        <v>1.74277208478202E-3</v>
      </c>
      <c r="AO2" s="15" t="s">
        <v>59</v>
      </c>
      <c r="AP2" s="15" t="s">
        <v>60</v>
      </c>
      <c r="AQ2" s="15" t="s">
        <v>61</v>
      </c>
      <c r="AR2" s="15" t="s">
        <v>63</v>
      </c>
      <c r="AS2" s="15" t="s">
        <v>62</v>
      </c>
      <c r="AT2" s="15" t="s">
        <v>64</v>
      </c>
    </row>
    <row r="3" spans="1:60" ht="15" customHeight="1" x14ac:dyDescent="0.25">
      <c r="B3" s="9" t="s">
        <v>37</v>
      </c>
      <c r="C3" s="17" t="s">
        <v>38</v>
      </c>
      <c r="D3" s="17" t="s">
        <v>41</v>
      </c>
      <c r="E3" s="17" t="s">
        <v>40</v>
      </c>
      <c r="F3" s="18">
        <v>0.79712855275069805</v>
      </c>
      <c r="G3" s="18">
        <v>-0.32711568878908298</v>
      </c>
      <c r="H3" s="18">
        <v>4.4670919526295802E-2</v>
      </c>
      <c r="I3" s="18">
        <v>4.4682607004387698E-2</v>
      </c>
      <c r="J3" s="18"/>
      <c r="K3" s="18">
        <v>3.1587110118882301E-2</v>
      </c>
      <c r="L3" s="18">
        <v>3.1595374413896003E-2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9">
        <v>2</v>
      </c>
      <c r="AI3" s="20">
        <v>14.395663560609799</v>
      </c>
      <c r="AJ3" s="18">
        <v>8.6175059045400002E-2</v>
      </c>
      <c r="AK3" s="18">
        <v>6.09349686201534E-2</v>
      </c>
      <c r="AM3" s="16" t="s">
        <v>58</v>
      </c>
      <c r="AN3" s="15" t="s">
        <v>65</v>
      </c>
      <c r="AO3" s="22">
        <v>0.72516163335879202</v>
      </c>
      <c r="AP3" s="18">
        <v>0.73149385198702399</v>
      </c>
      <c r="AQ3" s="18">
        <v>0.73895631017488395</v>
      </c>
      <c r="AR3" s="18">
        <v>0.58759332845650003</v>
      </c>
      <c r="AS3" s="18">
        <v>0.81986611887803496</v>
      </c>
      <c r="AT3" s="18">
        <v>1.9027629680067799</v>
      </c>
    </row>
    <row r="4" spans="1:60" ht="15" customHeight="1" x14ac:dyDescent="0.25">
      <c r="B4" s="7" t="s">
        <v>37</v>
      </c>
      <c r="C4" s="21" t="s">
        <v>38</v>
      </c>
      <c r="D4" s="21" t="s">
        <v>42</v>
      </c>
      <c r="E4" s="21" t="s">
        <v>40</v>
      </c>
      <c r="F4" s="22">
        <v>0.72516163335879202</v>
      </c>
      <c r="G4" s="22">
        <v>-0.46362549747660597</v>
      </c>
      <c r="H4" s="22">
        <v>1.1053086914112199E-2</v>
      </c>
      <c r="I4" s="22">
        <v>1.1131344956337001E-2</v>
      </c>
      <c r="J4" s="22"/>
      <c r="K4" s="22">
        <v>7.81571271001303E-3</v>
      </c>
      <c r="L4" s="22">
        <v>7.8710495023526002E-3</v>
      </c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3">
        <v>2</v>
      </c>
      <c r="AI4" s="24">
        <v>14.541167376182401</v>
      </c>
      <c r="AJ4" s="22">
        <v>2.3438716684643101E-2</v>
      </c>
      <c r="AK4" s="22">
        <v>1.65736755100214E-2</v>
      </c>
      <c r="AL4" s="8"/>
      <c r="AM4" s="8"/>
      <c r="AN4" s="15" t="s">
        <v>66</v>
      </c>
      <c r="AO4" s="22">
        <v>1.0127641288698701</v>
      </c>
      <c r="AP4" s="18">
        <v>0.72976569672677705</v>
      </c>
      <c r="AQ4" s="18">
        <v>0.79712855275069805</v>
      </c>
      <c r="AR4" s="18">
        <v>0.67962251917337502</v>
      </c>
      <c r="AS4" s="18">
        <v>0.909844630994878</v>
      </c>
      <c r="AT4" s="18">
        <v>2.7450160067395202</v>
      </c>
    </row>
    <row r="5" spans="1:60" ht="15" customHeight="1" x14ac:dyDescent="0.25">
      <c r="B5" s="7" t="s">
        <v>37</v>
      </c>
      <c r="C5" s="21" t="s">
        <v>38</v>
      </c>
      <c r="D5" s="21" t="s">
        <v>43</v>
      </c>
      <c r="E5" s="21" t="s">
        <v>40</v>
      </c>
      <c r="F5" s="22">
        <v>1.0127641288698701</v>
      </c>
      <c r="G5" s="22">
        <v>1.8298211914809299E-2</v>
      </c>
      <c r="H5" s="22">
        <v>3.0995319774659399E-2</v>
      </c>
      <c r="I5" s="22">
        <v>3.09954048649962E-2</v>
      </c>
      <c r="J5" s="22"/>
      <c r="K5" s="22">
        <v>2.1917000797707101E-2</v>
      </c>
      <c r="L5" s="22">
        <v>2.19170609656613E-2</v>
      </c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3">
        <v>2</v>
      </c>
      <c r="AI5" s="24">
        <v>14.027491917945801</v>
      </c>
      <c r="AJ5" s="22">
        <v>4.7062270273171003E-2</v>
      </c>
      <c r="AK5" s="22">
        <v>3.3278050448193298E-2</v>
      </c>
      <c r="AL5" s="8"/>
      <c r="AM5" s="8"/>
    </row>
    <row r="6" spans="1:60" ht="15" customHeight="1" x14ac:dyDescent="0.25">
      <c r="B6" s="9" t="s">
        <v>37</v>
      </c>
      <c r="C6" s="17" t="s">
        <v>38</v>
      </c>
      <c r="D6" s="17" t="s">
        <v>44</v>
      </c>
      <c r="E6" s="17" t="s">
        <v>40</v>
      </c>
      <c r="F6" s="18">
        <v>0.73149385198702399</v>
      </c>
      <c r="G6" s="18">
        <v>-0.451082355944115</v>
      </c>
      <c r="H6" s="18">
        <v>3.9913865313863702E-3</v>
      </c>
      <c r="I6" s="18">
        <v>4.1956447864669403E-3</v>
      </c>
      <c r="J6" s="18"/>
      <c r="K6" s="18">
        <v>2.8223364826799602E-3</v>
      </c>
      <c r="L6" s="18">
        <v>2.9667688799607599E-3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9">
        <v>2</v>
      </c>
      <c r="AI6" s="20">
        <v>14.5277978244279</v>
      </c>
      <c r="AJ6" s="18">
        <v>8.3906995457285992E-3</v>
      </c>
      <c r="AK6" s="18">
        <v>5.93312054768358E-3</v>
      </c>
      <c r="AM6" s="16" t="s">
        <v>67</v>
      </c>
      <c r="AN6" s="15" t="s">
        <v>65</v>
      </c>
      <c r="AO6" s="30">
        <v>0.49148062444346402</v>
      </c>
      <c r="AP6" s="26">
        <v>0.65948498120786503</v>
      </c>
      <c r="AQ6" s="26">
        <v>0.35752669906467099</v>
      </c>
      <c r="AR6" s="26">
        <v>1.74299576438308</v>
      </c>
      <c r="AS6" s="26">
        <v>1.74326367756323</v>
      </c>
      <c r="AT6" s="30">
        <v>0.63722405288329997</v>
      </c>
      <c r="AV6" s="1">
        <f>AO6/AO3</f>
        <v>0.67775320953899887</v>
      </c>
      <c r="AW6" s="1">
        <f t="shared" ref="AW6:BA6" si="0">AP6/AP3</f>
        <v>0.90155915790193641</v>
      </c>
      <c r="AX6" s="1">
        <f t="shared" si="0"/>
        <v>0.48382657288636927</v>
      </c>
      <c r="AY6" s="1">
        <f t="shared" si="0"/>
        <v>2.9663300789367546</v>
      </c>
      <c r="AZ6" s="1">
        <f t="shared" si="0"/>
        <v>2.1262784708664872</v>
      </c>
      <c r="BA6" s="1">
        <f t="shared" si="0"/>
        <v>0.3348940796082539</v>
      </c>
      <c r="BC6" s="1">
        <f>AV6/$AV$6</f>
        <v>1</v>
      </c>
      <c r="BD6" s="1">
        <f t="shared" ref="BD6:BH7" si="1">AW6/$AV$6</f>
        <v>1.330217467380447</v>
      </c>
      <c r="BE6" s="1">
        <f t="shared" si="1"/>
        <v>0.713868361044669</v>
      </c>
      <c r="BF6" s="1">
        <f t="shared" si="1"/>
        <v>4.3767112234767929</v>
      </c>
      <c r="BG6" s="1">
        <f t="shared" si="1"/>
        <v>3.1372458897136926</v>
      </c>
      <c r="BH6" s="1">
        <f t="shared" si="1"/>
        <v>0.49412393020764239</v>
      </c>
    </row>
    <row r="7" spans="1:60" ht="15" customHeight="1" x14ac:dyDescent="0.25">
      <c r="B7" s="9" t="s">
        <v>37</v>
      </c>
      <c r="C7" s="17" t="s">
        <v>38</v>
      </c>
      <c r="D7" s="17" t="s">
        <v>45</v>
      </c>
      <c r="E7" s="17" t="s">
        <v>40</v>
      </c>
      <c r="F7" s="18">
        <v>0.72976569672677705</v>
      </c>
      <c r="G7" s="18">
        <v>-0.45449475751016799</v>
      </c>
      <c r="H7" s="18">
        <v>7.4996492209808297E-3</v>
      </c>
      <c r="I7" s="18">
        <v>7.6114645125558503E-3</v>
      </c>
      <c r="J7" s="18"/>
      <c r="K7" s="18">
        <v>5.3030528206759499E-3</v>
      </c>
      <c r="L7" s="18">
        <v>5.3821181715889999E-3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9">
        <v>2</v>
      </c>
      <c r="AI7" s="20">
        <v>14.5314350535245</v>
      </c>
      <c r="AJ7" s="18">
        <v>1.5803110200854901E-2</v>
      </c>
      <c r="AK7" s="18">
        <v>1.11744863868628E-2</v>
      </c>
      <c r="AN7" s="15" t="s">
        <v>66</v>
      </c>
      <c r="AO7" s="30">
        <v>0.85077484691187899</v>
      </c>
      <c r="AP7" s="26">
        <v>0.67001867783671498</v>
      </c>
      <c r="AQ7" s="26">
        <v>0.61594361049686497</v>
      </c>
      <c r="AR7" s="30">
        <v>2.13881995867201</v>
      </c>
      <c r="AS7" s="26">
        <v>1.64440676500676</v>
      </c>
      <c r="AT7" s="30">
        <v>0.80979298749789796</v>
      </c>
      <c r="AV7" s="1">
        <f>AO7/AO4</f>
        <v>0.84005231095738675</v>
      </c>
      <c r="AW7" s="1">
        <f t="shared" ref="AW7" si="2">AP7/AP4</f>
        <v>0.91812849088680681</v>
      </c>
      <c r="AX7" s="1">
        <f t="shared" ref="AX7" si="3">AQ7/AQ4</f>
        <v>0.77270298293969319</v>
      </c>
      <c r="AY7" s="1">
        <f t="shared" ref="AY7" si="4">AR7/AR4</f>
        <v>3.147070466813632</v>
      </c>
      <c r="AZ7" s="1">
        <f t="shared" ref="AZ7" si="5">AS7/AS4</f>
        <v>1.8073489791423709</v>
      </c>
      <c r="BA7" s="1">
        <f>AT7/AT4</f>
        <v>0.29500483258010407</v>
      </c>
      <c r="BC7" s="1">
        <f>AV7/$AV$6</f>
        <v>1.239466370847262</v>
      </c>
      <c r="BD7" s="1">
        <f t="shared" si="1"/>
        <v>1.3546649104196922</v>
      </c>
      <c r="BE7" s="1">
        <f t="shared" si="1"/>
        <v>1.1400949077987816</v>
      </c>
      <c r="BF7" s="1">
        <f t="shared" si="1"/>
        <v>4.6433870360484732</v>
      </c>
      <c r="BG7" s="1">
        <f t="shared" si="1"/>
        <v>2.6666771233318278</v>
      </c>
      <c r="BH7" s="1">
        <f t="shared" si="1"/>
        <v>0.43526880939562573</v>
      </c>
    </row>
    <row r="8" spans="1:60" ht="15" customHeight="1" x14ac:dyDescent="0.25">
      <c r="B8" s="9" t="s">
        <v>37</v>
      </c>
      <c r="C8" s="17" t="s">
        <v>38</v>
      </c>
      <c r="D8" s="17" t="s">
        <v>46</v>
      </c>
      <c r="E8" s="17" t="s">
        <v>40</v>
      </c>
      <c r="F8" s="18">
        <v>0.81986611887803496</v>
      </c>
      <c r="G8" s="18">
        <v>-0.28653975271783799</v>
      </c>
      <c r="H8" s="18">
        <v>3.3664624512556897E-2</v>
      </c>
      <c r="I8" s="18">
        <v>3.3677212135172198E-2</v>
      </c>
      <c r="J8" s="18"/>
      <c r="K8" s="18">
        <v>2.3804484278927798E-2</v>
      </c>
      <c r="L8" s="18">
        <v>2.3813385072238201E-2</v>
      </c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9">
        <v>2</v>
      </c>
      <c r="AI8" s="20">
        <v>14.3524142617092</v>
      </c>
      <c r="AJ8" s="18">
        <v>6.3141645893824996E-2</v>
      </c>
      <c r="AK8" s="18">
        <v>4.4647885986803401E-2</v>
      </c>
    </row>
    <row r="9" spans="1:60" ht="15" customHeight="1" x14ac:dyDescent="0.25">
      <c r="B9" s="9" t="s">
        <v>37</v>
      </c>
      <c r="C9" s="17" t="s">
        <v>38</v>
      </c>
      <c r="D9" s="17" t="s">
        <v>47</v>
      </c>
      <c r="E9" s="17" t="s">
        <v>40</v>
      </c>
      <c r="F9" s="18">
        <v>0.909844630994878</v>
      </c>
      <c r="G9" s="18">
        <v>-0.13630788938979499</v>
      </c>
      <c r="H9" s="18">
        <v>1.31355957733974E-2</v>
      </c>
      <c r="I9" s="18">
        <v>1.3144584975407899E-2</v>
      </c>
      <c r="J9" s="18"/>
      <c r="K9" s="18">
        <v>9.2882688462946304E-3</v>
      </c>
      <c r="L9" s="18">
        <v>9.2946251719937204E-3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9">
        <v>2</v>
      </c>
      <c r="AI9" s="20">
        <v>14.192284308081801</v>
      </c>
      <c r="AJ9" s="18">
        <v>2.2200747715385698E-2</v>
      </c>
      <c r="AK9" s="18">
        <v>1.5698299256961E-2</v>
      </c>
      <c r="AM9" s="16" t="s">
        <v>68</v>
      </c>
      <c r="AN9" s="15" t="s">
        <v>65</v>
      </c>
      <c r="AO9" s="38">
        <v>0.36795608928791601</v>
      </c>
      <c r="AP9" s="34">
        <v>0.50246334468865805</v>
      </c>
      <c r="AQ9" s="34">
        <v>1.1604559701913999</v>
      </c>
      <c r="AR9" s="38">
        <v>0.86220735054520004</v>
      </c>
      <c r="AS9" s="38">
        <v>1.4701352464203601</v>
      </c>
      <c r="AT9" s="38">
        <v>0.59201295793183595</v>
      </c>
      <c r="AV9" s="1">
        <f>AO9/AO3</f>
        <v>0.50741251654975583</v>
      </c>
      <c r="AW9" s="1">
        <f t="shared" ref="AW9:BA9" si="6">AP9/AP3</f>
        <v>0.68690029769050098</v>
      </c>
      <c r="AX9" s="1">
        <f t="shared" si="6"/>
        <v>1.5703986206123097</v>
      </c>
      <c r="AY9" s="1">
        <f t="shared" si="6"/>
        <v>1.4673538802934687</v>
      </c>
      <c r="AZ9" s="1">
        <f t="shared" si="6"/>
        <v>1.7931406269504113</v>
      </c>
      <c r="BA9" s="1">
        <f t="shared" si="6"/>
        <v>0.31113331922367249</v>
      </c>
      <c r="BC9" s="1">
        <f>AV9/$AV$9</f>
        <v>1</v>
      </c>
      <c r="BD9" s="1">
        <f t="shared" ref="BD9:BH10" si="7">AW9/$AV$9</f>
        <v>1.3537314813619599</v>
      </c>
      <c r="BE9" s="1">
        <f t="shared" si="7"/>
        <v>3.0949150235601639</v>
      </c>
      <c r="BF9" s="1">
        <f t="shared" si="7"/>
        <v>2.8918361933028569</v>
      </c>
      <c r="BG9" s="1">
        <f t="shared" si="7"/>
        <v>3.5338911998923455</v>
      </c>
      <c r="BH9" s="1">
        <f t="shared" si="7"/>
        <v>0.61317627980342382</v>
      </c>
    </row>
    <row r="10" spans="1:60" ht="15" customHeight="1" x14ac:dyDescent="0.25">
      <c r="B10" s="9" t="s">
        <v>37</v>
      </c>
      <c r="C10" s="17" t="s">
        <v>38</v>
      </c>
      <c r="D10" s="17" t="s">
        <v>48</v>
      </c>
      <c r="E10" s="17" t="s">
        <v>40</v>
      </c>
      <c r="F10" s="18">
        <v>0.58759332845650003</v>
      </c>
      <c r="G10" s="18">
        <v>-0.76711007928139696</v>
      </c>
      <c r="H10" s="18">
        <v>8.3982471782008909E-3</v>
      </c>
      <c r="I10" s="18">
        <v>8.5820268302305401E-3</v>
      </c>
      <c r="J10" s="18"/>
      <c r="K10" s="18">
        <v>5.9384575297866402E-3</v>
      </c>
      <c r="L10" s="18">
        <v>6.0684093679809099E-3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9">
        <v>2</v>
      </c>
      <c r="AI10" s="20">
        <v>14.864647168913899</v>
      </c>
      <c r="AJ10" s="18">
        <v>2.1978439796872199E-2</v>
      </c>
      <c r="AK10" s="18">
        <v>1.55411038202686E-2</v>
      </c>
      <c r="AN10" s="15" t="s">
        <v>66</v>
      </c>
      <c r="AO10" s="38">
        <v>0.90447185899743199</v>
      </c>
      <c r="AP10" s="38">
        <v>0.64546717645746199</v>
      </c>
      <c r="AQ10" s="34">
        <v>1.27160051806594</v>
      </c>
      <c r="AR10" s="38">
        <v>1.12063811408068</v>
      </c>
      <c r="AS10" s="38">
        <v>1.45016486934477</v>
      </c>
      <c r="AT10" s="38">
        <v>0.828890788325369</v>
      </c>
      <c r="AV10" s="1">
        <f>AO10/AO4</f>
        <v>0.89307256567896021</v>
      </c>
      <c r="AW10" s="1">
        <f t="shared" ref="AW10" si="8">AP10/AP4</f>
        <v>0.88448549904795504</v>
      </c>
      <c r="AX10" s="1">
        <f t="shared" ref="AX10" si="9">AQ10/AQ4</f>
        <v>1.5952264081846697</v>
      </c>
      <c r="AY10" s="1">
        <f t="shared" ref="AY10" si="10">AR10/AR4</f>
        <v>1.6489125690592366</v>
      </c>
      <c r="AZ10" s="1">
        <f t="shared" ref="AZ10" si="11">AS10/AS4</f>
        <v>1.5938598964518522</v>
      </c>
      <c r="BA10" s="1">
        <f t="shared" ref="BA10" si="12">AT10/AT4</f>
        <v>0.3019620965015466</v>
      </c>
      <c r="BC10" s="1">
        <f>AV10/$AV$9</f>
        <v>1.760052297786366</v>
      </c>
      <c r="BD10" s="1">
        <f t="shared" si="7"/>
        <v>1.74312905220032</v>
      </c>
      <c r="BE10" s="1">
        <f t="shared" si="7"/>
        <v>3.1438452071141314</v>
      </c>
      <c r="BF10" s="1">
        <f t="shared" si="7"/>
        <v>3.2496489843634899</v>
      </c>
      <c r="BG10" s="1">
        <f t="shared" si="7"/>
        <v>3.1411521089183885</v>
      </c>
      <c r="BH10" s="1">
        <f t="shared" si="7"/>
        <v>0.59510178927944679</v>
      </c>
    </row>
    <row r="11" spans="1:60" ht="15" customHeight="1" x14ac:dyDescent="0.25">
      <c r="B11" s="9" t="s">
        <v>37</v>
      </c>
      <c r="C11" s="17" t="s">
        <v>38</v>
      </c>
      <c r="D11" s="17" t="s">
        <v>49</v>
      </c>
      <c r="E11" s="17" t="s">
        <v>40</v>
      </c>
      <c r="F11" s="18">
        <v>0.67962251917337502</v>
      </c>
      <c r="G11" s="18">
        <v>-0.55719443812523395</v>
      </c>
      <c r="H11" s="18">
        <v>5.3654604911625499E-2</v>
      </c>
      <c r="I11" s="18">
        <v>5.3675126078613702E-2</v>
      </c>
      <c r="J11" s="18"/>
      <c r="K11" s="18">
        <v>3.7939534974895398E-2</v>
      </c>
      <c r="L11" s="18">
        <v>3.7954045631230601E-2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9">
        <v>2</v>
      </c>
      <c r="AI11" s="20">
        <v>14.6409011463368</v>
      </c>
      <c r="AJ11" s="18">
        <v>0.121401570100272</v>
      </c>
      <c r="AK11" s="18">
        <v>8.5843873464596293E-2</v>
      </c>
    </row>
    <row r="12" spans="1:60" ht="15" customHeight="1" x14ac:dyDescent="0.25">
      <c r="B12" s="9" t="s">
        <v>37</v>
      </c>
      <c r="C12" s="17" t="s">
        <v>38</v>
      </c>
      <c r="D12" s="17" t="s">
        <v>50</v>
      </c>
      <c r="E12" s="17" t="s">
        <v>40</v>
      </c>
      <c r="F12" s="18">
        <v>1.9027629680067799</v>
      </c>
      <c r="G12" s="18">
        <v>0.92809585263664596</v>
      </c>
      <c r="H12" s="18">
        <v>2.3871228228720499E-2</v>
      </c>
      <c r="I12" s="18">
        <v>2.4854269584208801E-2</v>
      </c>
      <c r="J12" s="18"/>
      <c r="K12" s="18">
        <v>1.6879507355780001E-2</v>
      </c>
      <c r="L12" s="18">
        <v>1.7574622564432599E-2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9">
        <v>2</v>
      </c>
      <c r="AI12" s="20">
        <v>13.0577518721809</v>
      </c>
      <c r="AJ12" s="18">
        <v>1.9291906016217501E-2</v>
      </c>
      <c r="AK12" s="18">
        <v>1.36414375660809E-2</v>
      </c>
      <c r="AM12" s="16" t="s">
        <v>69</v>
      </c>
      <c r="AN12" s="15" t="s">
        <v>65</v>
      </c>
      <c r="AO12" s="42">
        <v>1.74045810618939</v>
      </c>
      <c r="AP12" s="42">
        <v>2.9736225936246301</v>
      </c>
      <c r="AQ12" s="42">
        <v>37.222576686634198</v>
      </c>
      <c r="AR12" s="46">
        <v>0.137121156873417</v>
      </c>
      <c r="AS12" s="46">
        <v>0.18522936578240201</v>
      </c>
      <c r="AT12" s="46">
        <v>0.20437597240879701</v>
      </c>
      <c r="AV12" s="1">
        <f>AO12/AO3</f>
        <v>2.4000967868748986</v>
      </c>
      <c r="AW12" s="1">
        <f t="shared" ref="AW12:BA12" si="13">AP12/AP3</f>
        <v>4.0651368231559371</v>
      </c>
      <c r="AX12" s="1">
        <f t="shared" si="13"/>
        <v>50.371823305528004</v>
      </c>
      <c r="AY12" s="1">
        <f t="shared" si="13"/>
        <v>0.2333606428677622</v>
      </c>
      <c r="AZ12" s="1">
        <f t="shared" si="13"/>
        <v>0.22592635738611017</v>
      </c>
      <c r="BA12" s="1">
        <f t="shared" si="13"/>
        <v>0.10741010616939271</v>
      </c>
      <c r="BC12" s="1">
        <f>AV12/$AV$12</f>
        <v>1</v>
      </c>
      <c r="BD12" s="1">
        <f t="shared" ref="BD12:BH13" si="14">AW12/$AV$12</f>
        <v>1.6937387047832526</v>
      </c>
      <c r="BE12" s="1">
        <f t="shared" si="14"/>
        <v>20.987413333074706</v>
      </c>
      <c r="BF12" s="1">
        <f t="shared" si="14"/>
        <v>9.7229680129531287E-2</v>
      </c>
      <c r="BG12" s="1">
        <f t="shared" si="14"/>
        <v>9.4132186094162809E-2</v>
      </c>
      <c r="BH12" s="1">
        <f t="shared" si="14"/>
        <v>4.4752406134941136E-2</v>
      </c>
    </row>
    <row r="13" spans="1:60" ht="15" customHeight="1" x14ac:dyDescent="0.25">
      <c r="B13" s="9" t="s">
        <v>37</v>
      </c>
      <c r="C13" s="17" t="s">
        <v>38</v>
      </c>
      <c r="D13" s="17" t="s">
        <v>51</v>
      </c>
      <c r="E13" s="17" t="s">
        <v>40</v>
      </c>
      <c r="F13" s="18">
        <v>2.7450160067395202</v>
      </c>
      <c r="G13" s="18">
        <v>1.4568145618994699</v>
      </c>
      <c r="H13" s="18">
        <v>0.17103406814876099</v>
      </c>
      <c r="I13" s="18">
        <v>0.17175062379058301</v>
      </c>
      <c r="J13" s="18"/>
      <c r="K13" s="18">
        <v>0.12093934940191101</v>
      </c>
      <c r="L13" s="18">
        <v>0.12144603075534099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9">
        <v>2</v>
      </c>
      <c r="AI13" s="20">
        <v>12.494198305576299</v>
      </c>
      <c r="AJ13" s="18">
        <v>9.5812640168443597E-2</v>
      </c>
      <c r="AK13" s="18">
        <v>6.7749767586493106E-2</v>
      </c>
      <c r="AN13" s="15" t="s">
        <v>66</v>
      </c>
      <c r="AO13" s="42">
        <v>1.74682316546127</v>
      </c>
      <c r="AP13" s="42">
        <v>5.4157980969941502</v>
      </c>
      <c r="AQ13" s="42">
        <v>70.019784367454605</v>
      </c>
      <c r="AR13" s="46">
        <v>0.11446255118354499</v>
      </c>
      <c r="AS13" s="46">
        <v>7.2423004587508499E-2</v>
      </c>
      <c r="AT13" s="46">
        <v>0.15379465813877599</v>
      </c>
      <c r="AV13" s="1">
        <f>AO13/AO4</f>
        <v>1.7248075002523309</v>
      </c>
      <c r="AW13" s="1">
        <f t="shared" ref="AW13" si="15">AP13/AP4</f>
        <v>7.4212834630151372</v>
      </c>
      <c r="AX13" s="1">
        <f t="shared" ref="AX13" si="16">AQ13/AQ4</f>
        <v>87.840015422648264</v>
      </c>
      <c r="AY13" s="1">
        <f t="shared" ref="AY13" si="17">AR13/AR4</f>
        <v>0.1684207747011765</v>
      </c>
      <c r="AZ13" s="1">
        <f t="shared" ref="AZ13" si="18">AS13/AS4</f>
        <v>7.9599309728647732E-2</v>
      </c>
      <c r="BA13" s="1">
        <f t="shared" ref="BA13" si="19">AT13/AT4</f>
        <v>5.6026871158922846E-2</v>
      </c>
      <c r="BC13" s="1">
        <f>AV13/$AV$12</f>
        <v>0.71864081052254414</v>
      </c>
      <c r="BD13" s="1">
        <f t="shared" si="14"/>
        <v>3.0920767460708078</v>
      </c>
      <c r="BE13" s="1">
        <f t="shared" si="14"/>
        <v>36.598530485523618</v>
      </c>
      <c r="BF13" s="1">
        <f t="shared" si="14"/>
        <v>7.0172492885369281E-2</v>
      </c>
      <c r="BG13" s="1">
        <f t="shared" si="14"/>
        <v>3.316504157829895E-2</v>
      </c>
      <c r="BH13" s="1">
        <f t="shared" si="14"/>
        <v>2.3343588252486235E-2</v>
      </c>
    </row>
    <row r="14" spans="1:60" ht="15" customHeight="1" x14ac:dyDescent="0.25">
      <c r="B14" s="9" t="s">
        <v>52</v>
      </c>
      <c r="C14" s="25" t="s">
        <v>53</v>
      </c>
      <c r="D14" s="25" t="s">
        <v>39</v>
      </c>
      <c r="E14" s="25" t="s">
        <v>40</v>
      </c>
      <c r="F14" s="26">
        <v>0.35752669906467099</v>
      </c>
      <c r="G14" s="26">
        <v>-1.4838771126608601</v>
      </c>
      <c r="H14" s="26">
        <v>2.0899866754183E-2</v>
      </c>
      <c r="I14" s="26">
        <v>2.1111267417990701E-2</v>
      </c>
      <c r="J14" s="26"/>
      <c r="K14" s="26">
        <v>1.4778437507778099E-2</v>
      </c>
      <c r="L14" s="26">
        <v>1.4927920350703901E-2</v>
      </c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7">
        <v>2</v>
      </c>
      <c r="AI14" s="28">
        <v>23.481039087264499</v>
      </c>
      <c r="AJ14" s="26">
        <v>9.0235799405441602E-2</v>
      </c>
      <c r="AK14" s="26">
        <v>6.3806345665376796E-2</v>
      </c>
    </row>
    <row r="15" spans="1:60" ht="15" customHeight="1" x14ac:dyDescent="0.25">
      <c r="B15" s="9" t="s">
        <v>52</v>
      </c>
      <c r="C15" s="25" t="s">
        <v>53</v>
      </c>
      <c r="D15" s="25" t="s">
        <v>41</v>
      </c>
      <c r="E15" s="25" t="s">
        <v>40</v>
      </c>
      <c r="F15" s="26">
        <v>0.61594361049686497</v>
      </c>
      <c r="G15" s="26">
        <v>-0.69912981633786098</v>
      </c>
      <c r="H15" s="26">
        <v>4.7454737499259296E-3</v>
      </c>
      <c r="I15" s="26">
        <v>5.3264306121799604E-3</v>
      </c>
      <c r="J15" s="26"/>
      <c r="K15" s="26">
        <v>3.3555566685153802E-3</v>
      </c>
      <c r="L15" s="26">
        <v>3.76635520539206E-3</v>
      </c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7">
        <v>2</v>
      </c>
      <c r="AI15" s="28">
        <v>22.641387484744399</v>
      </c>
      <c r="AJ15" s="26">
        <v>1.1892754475472099E-2</v>
      </c>
      <c r="AK15" s="26">
        <v>8.40944733659299E-3</v>
      </c>
    </row>
    <row r="16" spans="1:60" ht="15" customHeight="1" x14ac:dyDescent="0.25">
      <c r="B16" s="7" t="s">
        <v>52</v>
      </c>
      <c r="C16" s="29" t="s">
        <v>53</v>
      </c>
      <c r="D16" s="29" t="s">
        <v>42</v>
      </c>
      <c r="E16" s="29" t="s">
        <v>40</v>
      </c>
      <c r="F16" s="30">
        <v>0.49148062444346402</v>
      </c>
      <c r="G16" s="30">
        <v>-1.0247935523201099</v>
      </c>
      <c r="H16" s="30">
        <v>2.6107661439637398E-3</v>
      </c>
      <c r="I16" s="30">
        <v>3.84977544549978E-3</v>
      </c>
      <c r="J16" s="30"/>
      <c r="K16" s="30">
        <v>1.8460904444890199E-3</v>
      </c>
      <c r="L16" s="30">
        <v>2.7222023235583602E-3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1">
        <v>2</v>
      </c>
      <c r="AI16" s="32">
        <v>22.989836060587098</v>
      </c>
      <c r="AJ16" s="30">
        <v>8.1998404641426097E-3</v>
      </c>
      <c r="AK16" s="30">
        <v>5.7981627968430897E-3</v>
      </c>
      <c r="AL16" s="8"/>
      <c r="AM16" s="8"/>
    </row>
    <row r="17" spans="2:39" ht="15" customHeight="1" x14ac:dyDescent="0.25">
      <c r="B17" s="7" t="s">
        <v>52</v>
      </c>
      <c r="C17" s="29" t="s">
        <v>53</v>
      </c>
      <c r="D17" s="29" t="s">
        <v>43</v>
      </c>
      <c r="E17" s="29" t="s">
        <v>40</v>
      </c>
      <c r="F17" s="30">
        <v>0.85077484691187899</v>
      </c>
      <c r="G17" s="30">
        <v>-0.23315071411806701</v>
      </c>
      <c r="H17" s="30">
        <v>1.4251761022395001E-2</v>
      </c>
      <c r="I17" s="30">
        <v>1.42952520861774E-2</v>
      </c>
      <c r="J17" s="30"/>
      <c r="K17" s="30">
        <v>1.00775168627856E-2</v>
      </c>
      <c r="L17" s="30">
        <v>1.01082696889072E-2</v>
      </c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1">
        <v>2</v>
      </c>
      <c r="AI17" s="32">
        <v>22.142806474331302</v>
      </c>
      <c r="AJ17" s="30">
        <v>2.5858166162385701E-2</v>
      </c>
      <c r="AK17" s="30">
        <v>1.8284484642471399E-2</v>
      </c>
      <c r="AL17" s="8"/>
      <c r="AM17" s="8"/>
    </row>
    <row r="18" spans="2:39" ht="15" customHeight="1" x14ac:dyDescent="0.25">
      <c r="B18" s="9" t="s">
        <v>52</v>
      </c>
      <c r="C18" s="25" t="s">
        <v>53</v>
      </c>
      <c r="D18" s="25" t="s">
        <v>44</v>
      </c>
      <c r="E18" s="25" t="s">
        <v>40</v>
      </c>
      <c r="F18" s="26">
        <v>0.65948498120786503</v>
      </c>
      <c r="G18" s="26">
        <v>-0.60058829027582605</v>
      </c>
      <c r="H18" s="26">
        <v>3.32341920072113E-3</v>
      </c>
      <c r="I18" s="26">
        <v>3.9994125257044599E-3</v>
      </c>
      <c r="J18" s="26"/>
      <c r="K18" s="26">
        <v>2.3500122535554898E-3</v>
      </c>
      <c r="L18" s="26">
        <v>2.8280117176880401E-3</v>
      </c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7">
        <v>2</v>
      </c>
      <c r="AI18" s="28">
        <v>22.535951568417701</v>
      </c>
      <c r="AJ18" s="26">
        <v>7.7790049364959901E-3</v>
      </c>
      <c r="AK18" s="26">
        <v>5.5005871414799401E-3</v>
      </c>
    </row>
    <row r="19" spans="2:39" ht="15" customHeight="1" x14ac:dyDescent="0.25">
      <c r="B19" s="9" t="s">
        <v>52</v>
      </c>
      <c r="C19" s="25" t="s">
        <v>53</v>
      </c>
      <c r="D19" s="25" t="s">
        <v>45</v>
      </c>
      <c r="E19" s="25" t="s">
        <v>40</v>
      </c>
      <c r="F19" s="26">
        <v>0.67001867783671498</v>
      </c>
      <c r="G19" s="26">
        <v>-0.57772678133663502</v>
      </c>
      <c r="H19" s="26">
        <v>1.2300016461611199E-2</v>
      </c>
      <c r="I19" s="26">
        <v>1.2490732446493199E-2</v>
      </c>
      <c r="J19" s="26"/>
      <c r="K19" s="26">
        <v>8.6974250487114203E-3</v>
      </c>
      <c r="L19" s="26">
        <v>8.8322816149021995E-3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7">
        <v>2</v>
      </c>
      <c r="AI19" s="28">
        <v>22.5114905696901</v>
      </c>
      <c r="AJ19" s="26">
        <v>2.8337570604027099E-2</v>
      </c>
      <c r="AK19" s="26">
        <v>2.0037688336460101E-2</v>
      </c>
    </row>
    <row r="20" spans="2:39" ht="15" customHeight="1" x14ac:dyDescent="0.25">
      <c r="B20" s="9" t="s">
        <v>52</v>
      </c>
      <c r="C20" s="25" t="s">
        <v>53</v>
      </c>
      <c r="D20" s="25" t="s">
        <v>46</v>
      </c>
      <c r="E20" s="25" t="s">
        <v>40</v>
      </c>
      <c r="F20" s="26">
        <v>1.74326367756323</v>
      </c>
      <c r="G20" s="26">
        <v>0.80179080098523503</v>
      </c>
      <c r="H20" s="26">
        <v>8.8933691896791595E-2</v>
      </c>
      <c r="I20" s="26">
        <v>8.9279604288591705E-2</v>
      </c>
      <c r="J20" s="26"/>
      <c r="K20" s="26">
        <v>6.2885616616176407E-2</v>
      </c>
      <c r="L20" s="26">
        <v>6.3130213614114805E-2</v>
      </c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7">
        <v>2</v>
      </c>
      <c r="AI20" s="28">
        <v>21.035455986164301</v>
      </c>
      <c r="AJ20" s="26">
        <v>7.8749367121422206E-2</v>
      </c>
      <c r="AK20" s="26">
        <v>5.5684211505706599E-2</v>
      </c>
    </row>
    <row r="21" spans="2:39" ht="15" customHeight="1" x14ac:dyDescent="0.25">
      <c r="B21" s="9" t="s">
        <v>52</v>
      </c>
      <c r="C21" s="25" t="s">
        <v>53</v>
      </c>
      <c r="D21" s="25" t="s">
        <v>47</v>
      </c>
      <c r="E21" s="25" t="s">
        <v>40</v>
      </c>
      <c r="F21" s="26">
        <v>1.64440676500676</v>
      </c>
      <c r="G21" s="26">
        <v>0.71756721220156305</v>
      </c>
      <c r="H21" s="26">
        <v>4.6255547207875801E-2</v>
      </c>
      <c r="I21" s="26">
        <v>4.6728040129370298E-2</v>
      </c>
      <c r="J21" s="26"/>
      <c r="K21" s="26">
        <v>3.2707611098183501E-2</v>
      </c>
      <c r="L21" s="26">
        <v>3.3041714047034799E-2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7">
        <v>2</v>
      </c>
      <c r="AI21" s="28">
        <v>21.125572220554101</v>
      </c>
      <c r="AJ21" s="26">
        <v>4.34208579433768E-2</v>
      </c>
      <c r="AK21" s="26">
        <v>3.0703183096699501E-2</v>
      </c>
    </row>
    <row r="22" spans="2:39" ht="15" customHeight="1" x14ac:dyDescent="0.25">
      <c r="B22" s="9" t="s">
        <v>52</v>
      </c>
      <c r="C22" s="25" t="s">
        <v>53</v>
      </c>
      <c r="D22" s="25" t="s">
        <v>48</v>
      </c>
      <c r="E22" s="25" t="s">
        <v>40</v>
      </c>
      <c r="F22" s="26">
        <v>1.74299576438308</v>
      </c>
      <c r="G22" s="26">
        <v>0.80156906360533797</v>
      </c>
      <c r="H22" s="26">
        <v>3.82187872925564E-2</v>
      </c>
      <c r="I22" s="26">
        <v>3.90162640612167E-2</v>
      </c>
      <c r="J22" s="26"/>
      <c r="K22" s="26">
        <v>2.70247636632929E-2</v>
      </c>
      <c r="L22" s="26">
        <v>2.75886648942513E-2</v>
      </c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7">
        <v>2</v>
      </c>
      <c r="AI22" s="28">
        <v>21.035693237247798</v>
      </c>
      <c r="AJ22" s="26">
        <v>3.3847328997357803E-2</v>
      </c>
      <c r="AK22" s="26">
        <v>2.3933675859083799E-2</v>
      </c>
    </row>
    <row r="23" spans="2:39" ht="15" customHeight="1" x14ac:dyDescent="0.25">
      <c r="B23" s="7" t="s">
        <v>52</v>
      </c>
      <c r="C23" s="29" t="s">
        <v>53</v>
      </c>
      <c r="D23" s="29" t="s">
        <v>49</v>
      </c>
      <c r="E23" s="29" t="s">
        <v>40</v>
      </c>
      <c r="F23" s="30">
        <v>2.13881995867201</v>
      </c>
      <c r="G23" s="30">
        <v>1.09681504460529</v>
      </c>
      <c r="H23" s="30">
        <v>2.6057194571345699E-2</v>
      </c>
      <c r="I23" s="30">
        <v>2.9199773021376298E-2</v>
      </c>
      <c r="J23" s="30"/>
      <c r="K23" s="30">
        <v>1.84252189800959E-2</v>
      </c>
      <c r="L23" s="30">
        <v>2.0647357512523199E-2</v>
      </c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1">
        <v>2</v>
      </c>
      <c r="AI23" s="32">
        <v>20.719790573746099</v>
      </c>
      <c r="AJ23" s="30">
        <v>1.8806035856377398E-2</v>
      </c>
      <c r="AK23" s="30">
        <v>1.32978754812818E-2</v>
      </c>
      <c r="AL23" s="8"/>
      <c r="AM23" s="8"/>
    </row>
    <row r="24" spans="2:39" ht="15" customHeight="1" x14ac:dyDescent="0.25">
      <c r="B24" s="7" t="s">
        <v>52</v>
      </c>
      <c r="C24" s="29" t="s">
        <v>53</v>
      </c>
      <c r="D24" s="29" t="s">
        <v>50</v>
      </c>
      <c r="E24" s="29" t="s">
        <v>40</v>
      </c>
      <c r="F24" s="30">
        <v>0.63722405288329997</v>
      </c>
      <c r="G24" s="30">
        <v>-0.65012737052173797</v>
      </c>
      <c r="H24" s="30">
        <v>2.5076413875002399E-3</v>
      </c>
      <c r="I24" s="30">
        <v>3.4210776960960899E-3</v>
      </c>
      <c r="J24" s="30"/>
      <c r="K24" s="30">
        <v>1.77317022988546E-3</v>
      </c>
      <c r="L24" s="30">
        <v>2.4190672378755899E-3</v>
      </c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1">
        <v>2</v>
      </c>
      <c r="AI24" s="32">
        <v>22.588956616425801</v>
      </c>
      <c r="AJ24" s="30">
        <v>6.0745918149991999E-3</v>
      </c>
      <c r="AK24" s="30">
        <v>4.2953850653262302E-3</v>
      </c>
      <c r="AL24" s="8"/>
      <c r="AM24" s="8"/>
    </row>
    <row r="25" spans="2:39" ht="15" customHeight="1" x14ac:dyDescent="0.25">
      <c r="B25" s="7" t="s">
        <v>52</v>
      </c>
      <c r="C25" s="29" t="s">
        <v>53</v>
      </c>
      <c r="D25" s="29" t="s">
        <v>51</v>
      </c>
      <c r="E25" s="29" t="s">
        <v>40</v>
      </c>
      <c r="F25" s="30">
        <v>0.80979298749789796</v>
      </c>
      <c r="G25" s="30">
        <v>-0.30437494501427598</v>
      </c>
      <c r="H25" s="30">
        <v>1.3329521112028699E-2</v>
      </c>
      <c r="I25" s="30">
        <v>1.34012365206363E-2</v>
      </c>
      <c r="J25" s="30"/>
      <c r="K25" s="30">
        <v>9.4253947682847606E-3</v>
      </c>
      <c r="L25" s="30">
        <v>9.4761052200267697E-3</v>
      </c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1">
        <v>2</v>
      </c>
      <c r="AI25" s="32">
        <v>22.219013859677499</v>
      </c>
      <c r="AJ25" s="30">
        <v>2.5408812431367701E-2</v>
      </c>
      <c r="AK25" s="30">
        <v>1.7966743572117101E-2</v>
      </c>
      <c r="AL25" s="8"/>
      <c r="AM25" s="8"/>
    </row>
    <row r="26" spans="2:39" ht="15" customHeight="1" x14ac:dyDescent="0.25">
      <c r="B26" s="9" t="s">
        <v>54</v>
      </c>
      <c r="C26" s="33" t="s">
        <v>55</v>
      </c>
      <c r="D26" s="33" t="s">
        <v>39</v>
      </c>
      <c r="E26" s="33" t="s">
        <v>40</v>
      </c>
      <c r="F26" s="34">
        <v>1.1604559701913999</v>
      </c>
      <c r="G26" s="34">
        <v>0.214691785248908</v>
      </c>
      <c r="H26" s="34">
        <v>0.11603198996408901</v>
      </c>
      <c r="I26" s="34">
        <v>0.116036755574669</v>
      </c>
      <c r="J26" s="34"/>
      <c r="K26" s="34">
        <v>8.20470069381765E-2</v>
      </c>
      <c r="L26" s="34">
        <v>8.2050376733734304E-2</v>
      </c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5">
        <v>2</v>
      </c>
      <c r="AI26" s="36">
        <v>19.429351153101599</v>
      </c>
      <c r="AJ26" s="34">
        <v>0.150024098620512</v>
      </c>
      <c r="AK26" s="34">
        <v>0.106083057475963</v>
      </c>
    </row>
    <row r="27" spans="2:39" ht="15" customHeight="1" x14ac:dyDescent="0.25">
      <c r="B27" s="9" t="s">
        <v>54</v>
      </c>
      <c r="C27" s="33" t="s">
        <v>55</v>
      </c>
      <c r="D27" s="33" t="s">
        <v>41</v>
      </c>
      <c r="E27" s="33" t="s">
        <v>40</v>
      </c>
      <c r="F27" s="34">
        <v>1.27160051806594</v>
      </c>
      <c r="G27" s="34">
        <v>0.34664550936062899</v>
      </c>
      <c r="H27" s="34">
        <v>6.5427665059497597E-2</v>
      </c>
      <c r="I27" s="34">
        <v>6.54541159544062E-2</v>
      </c>
      <c r="J27" s="34"/>
      <c r="K27" s="34">
        <v>4.6264345640772898E-2</v>
      </c>
      <c r="L27" s="34">
        <v>4.6283049247931203E-2</v>
      </c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5">
        <v>2</v>
      </c>
      <c r="AI27" s="36">
        <v>19.292117992520598</v>
      </c>
      <c r="AJ27" s="34">
        <v>7.7200955998213097E-2</v>
      </c>
      <c r="AK27" s="34">
        <v>5.4589319500420799E-2</v>
      </c>
    </row>
    <row r="28" spans="2:39" ht="15" customHeight="1" x14ac:dyDescent="0.25">
      <c r="B28" s="7" t="s">
        <v>54</v>
      </c>
      <c r="C28" s="37" t="s">
        <v>55</v>
      </c>
      <c r="D28" s="37" t="s">
        <v>42</v>
      </c>
      <c r="E28" s="37" t="s">
        <v>40</v>
      </c>
      <c r="F28" s="38">
        <v>0.36795608928791601</v>
      </c>
      <c r="G28" s="38">
        <v>-1.4423944849811501</v>
      </c>
      <c r="H28" s="38">
        <v>2.9076374261138502E-3</v>
      </c>
      <c r="I28" s="38">
        <v>3.6705910792067102E-3</v>
      </c>
      <c r="J28" s="38"/>
      <c r="K28" s="38">
        <v>2.0560101412368998E-3</v>
      </c>
      <c r="L28" s="38">
        <v>2.5954998430699101E-3</v>
      </c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9">
        <v>2</v>
      </c>
      <c r="AI28" s="40">
        <v>21.1527370427374</v>
      </c>
      <c r="AJ28" s="38">
        <v>1.1856491891840701E-2</v>
      </c>
      <c r="AK28" s="38">
        <v>8.3838058178038501E-3</v>
      </c>
      <c r="AL28" s="8"/>
      <c r="AM28" s="8"/>
    </row>
    <row r="29" spans="2:39" ht="15" customHeight="1" x14ac:dyDescent="0.25">
      <c r="B29" s="7" t="s">
        <v>54</v>
      </c>
      <c r="C29" s="37" t="s">
        <v>55</v>
      </c>
      <c r="D29" s="37" t="s">
        <v>43</v>
      </c>
      <c r="E29" s="37" t="s">
        <v>40</v>
      </c>
      <c r="F29" s="38">
        <v>0.90447185899743199</v>
      </c>
      <c r="G29" s="38">
        <v>-0.14485247818393601</v>
      </c>
      <c r="H29" s="38">
        <v>2.06310739380339E-2</v>
      </c>
      <c r="I29" s="38">
        <v>2.0638484636981001E-2</v>
      </c>
      <c r="J29" s="38"/>
      <c r="K29" s="38">
        <v>1.4588372284744799E-2</v>
      </c>
      <c r="L29" s="38">
        <v>1.4593612440223599E-2</v>
      </c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9">
        <v>2</v>
      </c>
      <c r="AI29" s="40">
        <v>19.803280695233202</v>
      </c>
      <c r="AJ29" s="38">
        <v>3.4224627434297501E-2</v>
      </c>
      <c r="AK29" s="38">
        <v>2.42004661423749E-2</v>
      </c>
      <c r="AL29" s="8"/>
      <c r="AM29" s="8"/>
    </row>
    <row r="30" spans="2:39" ht="15" customHeight="1" x14ac:dyDescent="0.25">
      <c r="B30" s="9" t="s">
        <v>54</v>
      </c>
      <c r="C30" s="33" t="s">
        <v>55</v>
      </c>
      <c r="D30" s="33" t="s">
        <v>44</v>
      </c>
      <c r="E30" s="33" t="s">
        <v>40</v>
      </c>
      <c r="F30" s="34">
        <v>0.50246334468865805</v>
      </c>
      <c r="G30" s="34">
        <v>-0.99290974111274599</v>
      </c>
      <c r="H30" s="34">
        <v>2.0438226480262198E-2</v>
      </c>
      <c r="I30" s="34">
        <v>2.0546433141527001E-2</v>
      </c>
      <c r="J30" s="34"/>
      <c r="K30" s="34">
        <v>1.44520085396199E-2</v>
      </c>
      <c r="L30" s="34">
        <v>1.45285222035698E-2</v>
      </c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5">
        <v>2</v>
      </c>
      <c r="AI30" s="36">
        <v>20.685268523381598</v>
      </c>
      <c r="AJ30" s="34">
        <v>6.1031040641421203E-2</v>
      </c>
      <c r="AK30" s="34">
        <v>4.3155462700420699E-2</v>
      </c>
    </row>
    <row r="31" spans="2:39" ht="15" customHeight="1" x14ac:dyDescent="0.25">
      <c r="B31" s="7" t="s">
        <v>54</v>
      </c>
      <c r="C31" s="37" t="s">
        <v>55</v>
      </c>
      <c r="D31" s="37" t="s">
        <v>45</v>
      </c>
      <c r="E31" s="37" t="s">
        <v>40</v>
      </c>
      <c r="F31" s="38">
        <v>0.64546717645746199</v>
      </c>
      <c r="G31" s="38">
        <v>-0.63158436196692402</v>
      </c>
      <c r="H31" s="38">
        <v>2.5080756327301801E-3</v>
      </c>
      <c r="I31" s="38">
        <v>3.0416405928811001E-3</v>
      </c>
      <c r="J31" s="38"/>
      <c r="K31" s="38">
        <v>1.7734772876322499E-3</v>
      </c>
      <c r="L31" s="38">
        <v>2.1507646891584901E-3</v>
      </c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9">
        <v>2</v>
      </c>
      <c r="AI31" s="40">
        <v>20.309486603529699</v>
      </c>
      <c r="AJ31" s="38">
        <v>5.83013242403581E-3</v>
      </c>
      <c r="AK31" s="38">
        <v>4.1225261722512797E-3</v>
      </c>
      <c r="AL31" s="8"/>
      <c r="AM31" s="8"/>
    </row>
    <row r="32" spans="2:39" ht="15" customHeight="1" x14ac:dyDescent="0.25">
      <c r="B32" s="7" t="s">
        <v>54</v>
      </c>
      <c r="C32" s="37" t="s">
        <v>55</v>
      </c>
      <c r="D32" s="37" t="s">
        <v>46</v>
      </c>
      <c r="E32" s="37" t="s">
        <v>40</v>
      </c>
      <c r="F32" s="38">
        <v>1.4701352464203601</v>
      </c>
      <c r="G32" s="38">
        <v>0.55594888320081104</v>
      </c>
      <c r="H32" s="38">
        <v>0.17764475119534501</v>
      </c>
      <c r="I32" s="38">
        <v>0.17767824835639701</v>
      </c>
      <c r="J32" s="38"/>
      <c r="K32" s="38">
        <v>0.12561380821242499</v>
      </c>
      <c r="L32" s="38">
        <v>0.12563749428215601</v>
      </c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9">
        <v>2</v>
      </c>
      <c r="AI32" s="40">
        <v>19.0744404415025</v>
      </c>
      <c r="AJ32" s="38">
        <v>0.18130385687919201</v>
      </c>
      <c r="AK32" s="38">
        <v>0.12820118665455199</v>
      </c>
      <c r="AL32" s="8"/>
      <c r="AM32" s="8"/>
    </row>
    <row r="33" spans="1:39" ht="15" customHeight="1" x14ac:dyDescent="0.25">
      <c r="B33" s="7" t="s">
        <v>54</v>
      </c>
      <c r="C33" s="37" t="s">
        <v>55</v>
      </c>
      <c r="D33" s="37" t="s">
        <v>47</v>
      </c>
      <c r="E33" s="37" t="s">
        <v>40</v>
      </c>
      <c r="F33" s="38">
        <v>1.45016486934477</v>
      </c>
      <c r="G33" s="38">
        <v>0.53621692966410295</v>
      </c>
      <c r="H33" s="38">
        <v>1.6270274260938699E-2</v>
      </c>
      <c r="I33" s="38">
        <v>1.6598056316024401E-2</v>
      </c>
      <c r="J33" s="38"/>
      <c r="K33" s="38">
        <v>1.1504821261674699E-2</v>
      </c>
      <c r="L33" s="38">
        <v>1.1736598175577101E-2</v>
      </c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9">
        <v>2</v>
      </c>
      <c r="AI33" s="40">
        <v>19.0949618657102</v>
      </c>
      <c r="AJ33" s="38">
        <v>1.6834082315782001E-2</v>
      </c>
      <c r="AK33" s="38">
        <v>1.1903493760542E-2</v>
      </c>
      <c r="AL33" s="8"/>
      <c r="AM33" s="8"/>
    </row>
    <row r="34" spans="1:39" ht="15" customHeight="1" x14ac:dyDescent="0.25">
      <c r="B34" s="7" t="s">
        <v>54</v>
      </c>
      <c r="C34" s="37" t="s">
        <v>55</v>
      </c>
      <c r="D34" s="37" t="s">
        <v>48</v>
      </c>
      <c r="E34" s="37" t="s">
        <v>40</v>
      </c>
      <c r="F34" s="38">
        <v>0.86220735054520004</v>
      </c>
      <c r="G34" s="38">
        <v>-0.21389323296257801</v>
      </c>
      <c r="H34" s="38">
        <v>4.2985592094929997E-2</v>
      </c>
      <c r="I34" s="38">
        <v>4.2992640259506498E-2</v>
      </c>
      <c r="J34" s="38"/>
      <c r="K34" s="38">
        <v>3.0395403663643801E-2</v>
      </c>
      <c r="L34" s="38">
        <v>3.04003874686108E-2</v>
      </c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9">
        <v>2</v>
      </c>
      <c r="AI34" s="40">
        <v>19.8750837538505</v>
      </c>
      <c r="AJ34" s="38">
        <v>7.4803711221638605E-2</v>
      </c>
      <c r="AK34" s="38">
        <v>5.2894211462740898E-2</v>
      </c>
      <c r="AL34" s="8"/>
      <c r="AM34" s="8"/>
    </row>
    <row r="35" spans="1:39" ht="15" customHeight="1" x14ac:dyDescent="0.25">
      <c r="B35" s="7" t="s">
        <v>54</v>
      </c>
      <c r="C35" s="37" t="s">
        <v>55</v>
      </c>
      <c r="D35" s="37" t="s">
        <v>49</v>
      </c>
      <c r="E35" s="37" t="s">
        <v>40</v>
      </c>
      <c r="F35" s="38">
        <v>1.12063811408068</v>
      </c>
      <c r="G35" s="38">
        <v>0.164320466090598</v>
      </c>
      <c r="H35" s="38">
        <v>7.0414910630755695E-2</v>
      </c>
      <c r="I35" s="38">
        <v>7.0419200590867703E-2</v>
      </c>
      <c r="J35" s="38"/>
      <c r="K35" s="38">
        <v>4.9790860803652102E-2</v>
      </c>
      <c r="L35" s="38">
        <v>4.9793894263538301E-2</v>
      </c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9">
        <v>2</v>
      </c>
      <c r="AI35" s="40">
        <v>19.481737816511501</v>
      </c>
      <c r="AJ35" s="38">
        <v>9.4278181288499893E-2</v>
      </c>
      <c r="AK35" s="38">
        <v>6.6664741307032899E-2</v>
      </c>
      <c r="AL35" s="8"/>
      <c r="AM35" s="8"/>
    </row>
    <row r="36" spans="1:39" ht="15" customHeight="1" x14ac:dyDescent="0.25">
      <c r="B36" s="7" t="s">
        <v>54</v>
      </c>
      <c r="C36" s="37" t="s">
        <v>55</v>
      </c>
      <c r="D36" s="37" t="s">
        <v>50</v>
      </c>
      <c r="E36" s="37" t="s">
        <v>40</v>
      </c>
      <c r="F36" s="38">
        <v>0.59201295793183595</v>
      </c>
      <c r="G36" s="38">
        <v>-0.75629934109494701</v>
      </c>
      <c r="H36" s="38">
        <v>1.37576282394417E-2</v>
      </c>
      <c r="I36" s="38">
        <v>1.3886836032373701E-2</v>
      </c>
      <c r="J36" s="38"/>
      <c r="K36" s="38">
        <v>9.7281122211527599E-3</v>
      </c>
      <c r="L36" s="38">
        <v>9.8194759277171108E-3</v>
      </c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9">
        <v>2</v>
      </c>
      <c r="AI36" s="40">
        <v>20.4391913986974</v>
      </c>
      <c r="AJ36" s="38">
        <v>3.4867781021835499E-2</v>
      </c>
      <c r="AK36" s="38">
        <v>2.46552444054675E-2</v>
      </c>
      <c r="AL36" s="8"/>
      <c r="AM36" s="8"/>
    </row>
    <row r="37" spans="1:39" s="6" customFormat="1" ht="15" customHeight="1" x14ac:dyDescent="0.25">
      <c r="A37" s="4"/>
      <c r="B37" s="7" t="s">
        <v>54</v>
      </c>
      <c r="C37" s="37" t="s">
        <v>55</v>
      </c>
      <c r="D37" s="37" t="s">
        <v>51</v>
      </c>
      <c r="E37" s="37" t="s">
        <v>40</v>
      </c>
      <c r="F37" s="38">
        <v>0.828890788325369</v>
      </c>
      <c r="G37" s="38">
        <v>-0.27074606496447201</v>
      </c>
      <c r="H37" s="38">
        <v>0.114198615811587</v>
      </c>
      <c r="I37" s="38">
        <v>0.114202544681449</v>
      </c>
      <c r="J37" s="38"/>
      <c r="K37" s="38">
        <v>8.0750615642490295E-2</v>
      </c>
      <c r="L37" s="38">
        <v>8.07533937730123E-2</v>
      </c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9">
        <v>2</v>
      </c>
      <c r="AI37" s="40">
        <v>19.934211253859502</v>
      </c>
      <c r="AJ37" s="38">
        <v>0.206716660062293</v>
      </c>
      <c r="AK37" s="38">
        <v>0.14617075211428199</v>
      </c>
      <c r="AL37" s="8"/>
      <c r="AM37" s="8"/>
    </row>
    <row r="38" spans="1:39" ht="15" customHeight="1" x14ac:dyDescent="0.25">
      <c r="B38" s="7" t="s">
        <v>56</v>
      </c>
      <c r="C38" s="41" t="s">
        <v>57</v>
      </c>
      <c r="D38" s="41" t="s">
        <v>39</v>
      </c>
      <c r="E38" s="41" t="s">
        <v>40</v>
      </c>
      <c r="F38" s="42">
        <v>37.222576686634198</v>
      </c>
      <c r="G38" s="42">
        <v>5.2181060225133598</v>
      </c>
      <c r="H38" s="42">
        <v>0.83317863544563597</v>
      </c>
      <c r="I38" s="42">
        <v>3.84148316102864</v>
      </c>
      <c r="J38" s="42"/>
      <c r="K38" s="42">
        <v>0.58914626306336404</v>
      </c>
      <c r="L38" s="42">
        <v>2.71633879297729</v>
      </c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3">
        <v>2</v>
      </c>
      <c r="AI38" s="44">
        <v>25.623865506026</v>
      </c>
      <c r="AJ38" s="42">
        <v>3.3016053913302403E-2</v>
      </c>
      <c r="AK38" s="42">
        <v>2.3345875610116799E-2</v>
      </c>
      <c r="AL38" s="8"/>
      <c r="AM38" s="8"/>
    </row>
    <row r="39" spans="1:39" ht="15" customHeight="1" x14ac:dyDescent="0.25">
      <c r="B39" s="7" t="s">
        <v>56</v>
      </c>
      <c r="C39" s="41" t="s">
        <v>57</v>
      </c>
      <c r="D39" s="41" t="s">
        <v>41</v>
      </c>
      <c r="E39" s="41" t="s">
        <v>40</v>
      </c>
      <c r="F39" s="42">
        <v>70.019784367454605</v>
      </c>
      <c r="G39" s="42">
        <v>6.12969071374485</v>
      </c>
      <c r="H39" s="42">
        <v>0.34772176552814299</v>
      </c>
      <c r="I39" s="42">
        <v>8.2938850742030894</v>
      </c>
      <c r="J39" s="42"/>
      <c r="K39" s="42">
        <v>0.24587641837110799</v>
      </c>
      <c r="L39" s="42">
        <v>5.8646623783509</v>
      </c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3">
        <v>2</v>
      </c>
      <c r="AI39" s="44">
        <v>24.6918654091549</v>
      </c>
      <c r="AJ39" s="42">
        <v>7.3249485792051799E-3</v>
      </c>
      <c r="AK39" s="42">
        <v>5.1795208121987396E-3</v>
      </c>
      <c r="AL39" s="8"/>
      <c r="AM39" s="8"/>
    </row>
    <row r="40" spans="1:39" ht="15" customHeight="1" x14ac:dyDescent="0.25">
      <c r="B40" s="7" t="s">
        <v>56</v>
      </c>
      <c r="C40" s="41" t="s">
        <v>57</v>
      </c>
      <c r="D40" s="41" t="s">
        <v>42</v>
      </c>
      <c r="E40" s="41" t="s">
        <v>40</v>
      </c>
      <c r="F40" s="42">
        <v>1.74045810618939</v>
      </c>
      <c r="G40" s="42">
        <v>0.79946708799424604</v>
      </c>
      <c r="H40" s="42">
        <v>0.49352062184696799</v>
      </c>
      <c r="I40" s="42">
        <v>0.494251264454523</v>
      </c>
      <c r="J40" s="42"/>
      <c r="K40" s="42">
        <v>0.34897177836339299</v>
      </c>
      <c r="L40" s="42">
        <v>0.34948842070581898</v>
      </c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3">
        <v>2</v>
      </c>
      <c r="AI40" s="44">
        <v>30.141462120605599</v>
      </c>
      <c r="AJ40" s="42">
        <v>0.41824928158735603</v>
      </c>
      <c r="AK40" s="42">
        <v>0.29574690323682201</v>
      </c>
      <c r="AL40" s="8"/>
      <c r="AM40" s="8"/>
    </row>
    <row r="41" spans="1:39" ht="15" customHeight="1" x14ac:dyDescent="0.25">
      <c r="B41" s="7" t="s">
        <v>56</v>
      </c>
      <c r="C41" s="41" t="s">
        <v>57</v>
      </c>
      <c r="D41" s="41" t="s">
        <v>43</v>
      </c>
      <c r="E41" s="41" t="s">
        <v>40</v>
      </c>
      <c r="F41" s="42">
        <v>1.74682316546127</v>
      </c>
      <c r="G41" s="42">
        <v>0.80473356862975398</v>
      </c>
      <c r="H41" s="42">
        <v>0.44482923398360402</v>
      </c>
      <c r="I41" s="42">
        <v>0.44565643015808898</v>
      </c>
      <c r="J41" s="42"/>
      <c r="K41" s="42">
        <v>0.31454176781982401</v>
      </c>
      <c r="L41" s="42">
        <v>0.31512668384417403</v>
      </c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3">
        <v>2</v>
      </c>
      <c r="AI41" s="44">
        <v>30.136077694441301</v>
      </c>
      <c r="AJ41" s="42">
        <v>0.37561061024904002</v>
      </c>
      <c r="AK41" s="42">
        <v>0.26559680959271298</v>
      </c>
      <c r="AL41" s="8"/>
      <c r="AM41" s="8"/>
    </row>
    <row r="42" spans="1:39" ht="15" customHeight="1" x14ac:dyDescent="0.25">
      <c r="B42" s="7" t="s">
        <v>56</v>
      </c>
      <c r="C42" s="41" t="s">
        <v>57</v>
      </c>
      <c r="D42" s="41" t="s">
        <v>44</v>
      </c>
      <c r="E42" s="41" t="s">
        <v>40</v>
      </c>
      <c r="F42" s="42">
        <v>2.9736225936246301</v>
      </c>
      <c r="G42" s="42">
        <v>1.57222155497036</v>
      </c>
      <c r="H42" s="42">
        <v>0.204646346475856</v>
      </c>
      <c r="I42" s="42">
        <v>0.223668907030287</v>
      </c>
      <c r="J42" s="42"/>
      <c r="K42" s="42">
        <v>0.14470681933812901</v>
      </c>
      <c r="L42" s="42">
        <v>0.15815780090169901</v>
      </c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3">
        <v>2</v>
      </c>
      <c r="AI42" s="44">
        <v>29.3514014219048</v>
      </c>
      <c r="AJ42" s="42">
        <v>0.101510652880105</v>
      </c>
      <c r="AK42" s="42">
        <v>7.1778871014196E-2</v>
      </c>
      <c r="AL42" s="8"/>
      <c r="AM42" s="8"/>
    </row>
    <row r="43" spans="1:39" ht="15" customHeight="1" x14ac:dyDescent="0.25">
      <c r="B43" s="7" t="s">
        <v>56</v>
      </c>
      <c r="C43" s="41" t="s">
        <v>57</v>
      </c>
      <c r="D43" s="41" t="s">
        <v>45</v>
      </c>
      <c r="E43" s="41" t="s">
        <v>40</v>
      </c>
      <c r="F43" s="42">
        <v>5.4157980969941502</v>
      </c>
      <c r="G43" s="42">
        <v>2.4371739556974701</v>
      </c>
      <c r="H43" s="42">
        <v>0.183052322746558</v>
      </c>
      <c r="I43" s="42">
        <v>0.31376902131659001</v>
      </c>
      <c r="J43" s="42"/>
      <c r="K43" s="42">
        <v>0.129437538726039</v>
      </c>
      <c r="L43" s="42">
        <v>0.221868202699227</v>
      </c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3">
        <v>2</v>
      </c>
      <c r="AI43" s="44">
        <v>28.4670779695468</v>
      </c>
      <c r="AJ43" s="42">
        <v>4.98547166094205E-2</v>
      </c>
      <c r="AK43" s="42">
        <v>3.5252608188654798E-2</v>
      </c>
      <c r="AL43" s="8"/>
      <c r="AM43" s="8"/>
    </row>
    <row r="44" spans="1:39" ht="15" customHeight="1" x14ac:dyDescent="0.25">
      <c r="B44" s="9" t="s">
        <v>56</v>
      </c>
      <c r="C44" s="45" t="s">
        <v>57</v>
      </c>
      <c r="D44" s="45" t="s">
        <v>46</v>
      </c>
      <c r="E44" s="45" t="s">
        <v>40</v>
      </c>
      <c r="F44" s="46">
        <v>0.18522936578240201</v>
      </c>
      <c r="G44" s="46">
        <v>-2.4326152570333899</v>
      </c>
      <c r="H44" s="46">
        <v>4.3994447237788697E-2</v>
      </c>
      <c r="I44" s="46">
        <v>4.4846344922706803E-2</v>
      </c>
      <c r="J44" s="46"/>
      <c r="K44" s="46">
        <v>3.1108771976394198E-2</v>
      </c>
      <c r="L44" s="46">
        <v>3.1711154606276902E-2</v>
      </c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7">
        <v>2</v>
      </c>
      <c r="AI44" s="48">
        <v>33.445928603683001</v>
      </c>
      <c r="AJ44" s="46">
        <v>0.35033336369874002</v>
      </c>
      <c r="AK44" s="46">
        <v>0.247723097147272</v>
      </c>
    </row>
    <row r="45" spans="1:39" ht="15" customHeight="1" x14ac:dyDescent="0.25">
      <c r="B45" s="9" t="s">
        <v>56</v>
      </c>
      <c r="C45" s="45" t="s">
        <v>57</v>
      </c>
      <c r="D45" s="45" t="s">
        <v>47</v>
      </c>
      <c r="E45" s="45" t="s">
        <v>40</v>
      </c>
      <c r="F45" s="46">
        <v>7.2423004587508499E-2</v>
      </c>
      <c r="G45" s="46">
        <v>-3.7874081591415099</v>
      </c>
      <c r="H45" s="46">
        <v>9.96000837195994E-2</v>
      </c>
      <c r="I45" s="46">
        <v>9.9740777304609896E-2</v>
      </c>
      <c r="J45" s="46"/>
      <c r="K45" s="46">
        <v>7.0427894604876598E-2</v>
      </c>
      <c r="L45" s="46">
        <v>7.0527379992906994E-2</v>
      </c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7">
        <v>2</v>
      </c>
      <c r="AI45" s="48">
        <v>34.831062786113399</v>
      </c>
      <c r="AJ45" s="46">
        <v>2.0285075965683701</v>
      </c>
      <c r="AK45" s="46">
        <v>1.43437147722192</v>
      </c>
    </row>
    <row r="46" spans="1:39" ht="15" customHeight="1" x14ac:dyDescent="0.25">
      <c r="B46" s="9" t="s">
        <v>56</v>
      </c>
      <c r="C46" s="45" t="s">
        <v>57</v>
      </c>
      <c r="D46" s="45" t="s">
        <v>48</v>
      </c>
      <c r="E46" s="45" t="s">
        <v>40</v>
      </c>
      <c r="F46" s="46">
        <v>0.137121156873417</v>
      </c>
      <c r="G46" s="46">
        <v>-2.8664769084420101</v>
      </c>
      <c r="H46" s="46">
        <v>7.7556012006494299E-2</v>
      </c>
      <c r="I46" s="46">
        <v>7.7926400843603805E-2</v>
      </c>
      <c r="J46" s="46"/>
      <c r="K46" s="46">
        <v>5.4840382011577399E-2</v>
      </c>
      <c r="L46" s="46">
        <v>5.5102286469973297E-2</v>
      </c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7">
        <v>2</v>
      </c>
      <c r="AI46" s="48">
        <v>33.889506808792198</v>
      </c>
      <c r="AJ46" s="46">
        <v>0.83426586403706304</v>
      </c>
      <c r="AK46" s="46">
        <v>0.58991504977306197</v>
      </c>
    </row>
    <row r="47" spans="1:39" ht="15" customHeight="1" x14ac:dyDescent="0.25">
      <c r="B47" s="9" t="s">
        <v>56</v>
      </c>
      <c r="C47" s="45" t="s">
        <v>57</v>
      </c>
      <c r="D47" s="45" t="s">
        <v>49</v>
      </c>
      <c r="E47" s="45" t="s">
        <v>40</v>
      </c>
      <c r="F47" s="46">
        <v>0.11446255118354499</v>
      </c>
      <c r="G47" s="46">
        <v>-3.1270524272104701</v>
      </c>
      <c r="H47" s="46">
        <v>4.3490502596624701E-2</v>
      </c>
      <c r="I47" s="46">
        <v>4.4036122636058599E-2</v>
      </c>
      <c r="J47" s="46"/>
      <c r="K47" s="46">
        <v>3.0752429303284499E-2</v>
      </c>
      <c r="L47" s="46">
        <v>3.1138240933119499E-2</v>
      </c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7">
        <v>2</v>
      </c>
      <c r="AI47" s="48">
        <v>34.155918049646097</v>
      </c>
      <c r="AJ47" s="46">
        <v>0.56043400461161197</v>
      </c>
      <c r="AK47" s="46">
        <v>0.39628668506840398</v>
      </c>
    </row>
    <row r="48" spans="1:39" ht="15" customHeight="1" x14ac:dyDescent="0.25">
      <c r="B48" s="9" t="s">
        <v>56</v>
      </c>
      <c r="C48" s="45" t="s">
        <v>57</v>
      </c>
      <c r="D48" s="45" t="s">
        <v>50</v>
      </c>
      <c r="E48" s="45" t="s">
        <v>40</v>
      </c>
      <c r="F48" s="46">
        <v>0.20437597240879701</v>
      </c>
      <c r="G48" s="46">
        <v>-2.2907025000025798</v>
      </c>
      <c r="H48" s="46">
        <v>1.3406587703663E-2</v>
      </c>
      <c r="I48" s="46">
        <v>1.6169049441119E-2</v>
      </c>
      <c r="J48" s="46"/>
      <c r="K48" s="46">
        <v>9.4798890778322892E-3</v>
      </c>
      <c r="L48" s="46">
        <v>1.14332445051558E-2</v>
      </c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7">
        <v>2</v>
      </c>
      <c r="AI48" s="48">
        <v>33.300837637838399</v>
      </c>
      <c r="AJ48" s="46">
        <v>9.67568877391001E-2</v>
      </c>
      <c r="AK48" s="46">
        <v>6.8417451446823194E-2</v>
      </c>
    </row>
    <row r="49" spans="2:37" ht="15" customHeight="1" x14ac:dyDescent="0.25">
      <c r="B49" s="9" t="s">
        <v>56</v>
      </c>
      <c r="C49" s="45" t="s">
        <v>57</v>
      </c>
      <c r="D49" s="45" t="s">
        <v>51</v>
      </c>
      <c r="E49" s="45" t="s">
        <v>40</v>
      </c>
      <c r="F49" s="46">
        <v>0.15379465813877599</v>
      </c>
      <c r="G49" s="46">
        <v>-2.7009227008889001</v>
      </c>
      <c r="H49" s="46">
        <v>3.3665602545449598E-2</v>
      </c>
      <c r="I49" s="46">
        <v>3.4607685875841697E-2</v>
      </c>
      <c r="J49" s="46"/>
      <c r="K49" s="46">
        <v>2.3805175852618501E-2</v>
      </c>
      <c r="L49" s="46">
        <v>2.4471329363981598E-2</v>
      </c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7">
        <v>2</v>
      </c>
      <c r="AI49" s="48">
        <v>33.720244930042902</v>
      </c>
      <c r="AJ49" s="46">
        <v>0.32287811866458599</v>
      </c>
      <c r="AK49" s="46">
        <v>0.228309307204483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Meeus</dc:creator>
  <cp:lastModifiedBy>Emily Meeus</cp:lastModifiedBy>
  <dcterms:created xsi:type="dcterms:W3CDTF">2025-10-15T14:32:39Z</dcterms:created>
  <dcterms:modified xsi:type="dcterms:W3CDTF">2025-10-15T14:44:49Z</dcterms:modified>
</cp:coreProperties>
</file>