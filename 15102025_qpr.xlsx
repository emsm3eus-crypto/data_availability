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GBW-0173_Transport ATPase group\0035_Emily_Meeus_u0171728\qPCR\24092025_CTRLDFMOn2_bt474STD\"/>
    </mc:Choice>
  </mc:AlternateContent>
  <xr:revisionPtr revIDLastSave="0" documentId="13_ncr:1_{49301696-95AF-4759-AA93-85997B155ECE}" xr6:coauthVersionLast="47" xr6:coauthVersionMax="47" xr10:uidLastSave="{00000000-0000-0000-0000-000000000000}"/>
  <bookViews>
    <workbookView xWindow="4900" yWindow="2970" windowWidth="20630" windowHeight="11180" tabRatio="500" xr2:uid="{00000000-000D-0000-FFFF-FFFF00000000}"/>
  </bookViews>
  <sheets>
    <sheet name="0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13" i="1" l="1"/>
  <c r="BE13" i="1"/>
  <c r="BF13" i="1"/>
  <c r="BG13" i="1"/>
  <c r="BH13" i="1"/>
  <c r="BD14" i="1"/>
  <c r="BE14" i="1"/>
  <c r="BF14" i="1"/>
  <c r="BG14" i="1"/>
  <c r="BH14" i="1"/>
  <c r="BC14" i="1"/>
  <c r="BC13" i="1"/>
  <c r="BD10" i="1"/>
  <c r="BE10" i="1"/>
  <c r="BF10" i="1"/>
  <c r="BG10" i="1"/>
  <c r="BH10" i="1"/>
  <c r="BD11" i="1"/>
  <c r="BE11" i="1"/>
  <c r="BF11" i="1"/>
  <c r="BG11" i="1"/>
  <c r="BH11" i="1"/>
  <c r="BC11" i="1"/>
  <c r="BC10" i="1"/>
  <c r="BD7" i="1"/>
  <c r="BE7" i="1"/>
  <c r="BF7" i="1"/>
  <c r="BG7" i="1"/>
  <c r="BH7" i="1"/>
  <c r="BD8" i="1"/>
  <c r="BE8" i="1"/>
  <c r="BF8" i="1"/>
  <c r="BG8" i="1"/>
  <c r="BH8" i="1"/>
  <c r="BC8" i="1"/>
  <c r="BC7" i="1"/>
  <c r="AW13" i="1"/>
  <c r="AX13" i="1"/>
  <c r="AY13" i="1"/>
  <c r="AZ13" i="1"/>
  <c r="BA13" i="1"/>
  <c r="AW14" i="1"/>
  <c r="AX14" i="1"/>
  <c r="AY14" i="1"/>
  <c r="AZ14" i="1"/>
  <c r="BA14" i="1"/>
  <c r="AV14" i="1"/>
  <c r="AV13" i="1"/>
  <c r="AW10" i="1"/>
  <c r="AX10" i="1"/>
  <c r="AY10" i="1"/>
  <c r="AZ10" i="1"/>
  <c r="BA10" i="1"/>
  <c r="AW11" i="1"/>
  <c r="AX11" i="1"/>
  <c r="AY11" i="1"/>
  <c r="AZ11" i="1"/>
  <c r="BA11" i="1"/>
  <c r="AV11" i="1"/>
  <c r="AV10" i="1"/>
  <c r="BA8" i="1"/>
  <c r="AW7" i="1"/>
  <c r="AX7" i="1"/>
  <c r="AY7" i="1"/>
  <c r="AZ7" i="1"/>
  <c r="BA7" i="1"/>
  <c r="AW8" i="1"/>
  <c r="AX8" i="1"/>
  <c r="AY8" i="1"/>
  <c r="AZ8" i="1"/>
  <c r="AV8" i="1"/>
  <c r="AV7" i="1"/>
</calcChain>
</file>

<file path=xl/sharedStrings.xml><?xml version="1.0" encoding="utf-8"?>
<sst xmlns="http://schemas.openxmlformats.org/spreadsheetml/2006/main" count="246" uniqueCount="69">
  <si>
    <t>Data Set</t>
  </si>
  <si>
    <t>Target</t>
  </si>
  <si>
    <t>Sample Biological Group</t>
  </si>
  <si>
    <t>Control</t>
  </si>
  <si>
    <t>Relative Quantity</t>
  </si>
  <si>
    <t>Relative Quantity(lg)</t>
  </si>
  <si>
    <t>Relative Quantity SD</t>
  </si>
  <si>
    <t>Corrected Relative Quantity SD</t>
  </si>
  <si>
    <t>SD RQ(lg)</t>
  </si>
  <si>
    <t>Relative Quantity SEM</t>
  </si>
  <si>
    <t>Corrected Relative Quantity SEM</t>
  </si>
  <si>
    <t>SEM RQ(lg)</t>
  </si>
  <si>
    <t>Relative Quantity 95% CI Low</t>
  </si>
  <si>
    <t>Relative Quantity 95% CI High</t>
  </si>
  <si>
    <t>Unscaled Expression</t>
  </si>
  <si>
    <t>Unscaled Expression(lg)</t>
  </si>
  <si>
    <t>Unscaled Expression SD</t>
  </si>
  <si>
    <t>Corrected Unscaled Expression SD</t>
  </si>
  <si>
    <t>SD Unscaled Expression(lg)</t>
  </si>
  <si>
    <t>Unscaled Expression SEM</t>
  </si>
  <si>
    <t>Corrected Unscaled Expression SEM</t>
  </si>
  <si>
    <t>SEM Unscaled Expression(lg)</t>
  </si>
  <si>
    <t>Expression</t>
  </si>
  <si>
    <t>Expression(lg)</t>
  </si>
  <si>
    <t>Expression SD</t>
  </si>
  <si>
    <t>Corrected Expression SD</t>
  </si>
  <si>
    <t>SD Expression(lg)</t>
  </si>
  <si>
    <t>Expression SEM</t>
  </si>
  <si>
    <t>Corrected Expression SEM</t>
  </si>
  <si>
    <t>SEM Expression(lg)</t>
  </si>
  <si>
    <t>Expression 95% CI Low</t>
  </si>
  <si>
    <t>Expression 95% CI High</t>
  </si>
  <si>
    <t>Wells</t>
  </si>
  <si>
    <t>Mean Cq</t>
  </si>
  <si>
    <t>Cq SD</t>
  </si>
  <si>
    <t>Cq SEM</t>
  </si>
  <si>
    <t>P-Value</t>
  </si>
  <si>
    <t>2-GAPDH</t>
  </si>
  <si>
    <t>GAPDH</t>
  </si>
  <si>
    <t>BT474_CTRL</t>
  </si>
  <si>
    <t/>
  </si>
  <si>
    <t>BT474_DFMO</t>
  </si>
  <si>
    <t>MCF10A_CTRL</t>
  </si>
  <si>
    <t>MCF10A_DFMO</t>
  </si>
  <si>
    <t>MCF7_CTRL</t>
  </si>
  <si>
    <t>MCF7_DFMO</t>
  </si>
  <si>
    <t>MDAMB231_CTRL</t>
  </si>
  <si>
    <t>MDAMB231_DFMO</t>
  </si>
  <si>
    <t>MDAMB453_CTRL</t>
  </si>
  <si>
    <t>MDAMB453_DFMO</t>
  </si>
  <si>
    <t>SUM149PT_CTRL</t>
  </si>
  <si>
    <t>SUM149PT_DFMO</t>
  </si>
  <si>
    <t>1-hATP13A2</t>
  </si>
  <si>
    <t>hATP13A2</t>
  </si>
  <si>
    <t>1-hATP13A3</t>
  </si>
  <si>
    <t>hATP13A3</t>
  </si>
  <si>
    <t>2-hATP13A4</t>
  </si>
  <si>
    <t>hATP13A4</t>
  </si>
  <si>
    <t>MCF10A</t>
  </si>
  <si>
    <t>MCF7</t>
  </si>
  <si>
    <t>BT474</t>
  </si>
  <si>
    <t>MDAMB453</t>
  </si>
  <si>
    <t>MDAMB231</t>
  </si>
  <si>
    <t>SUM149PT</t>
  </si>
  <si>
    <t>CTRL</t>
  </si>
  <si>
    <t>DFMO</t>
  </si>
  <si>
    <t>hATP13A2/GAPDH</t>
  </si>
  <si>
    <t>hATP13A3/GAPDH</t>
  </si>
  <si>
    <t>hATP13A4/GAPDH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</si>
</sst>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0.00000;\-###0.00000"/>
    <numFmt numFmtId="165" formatCode="###0;\-###0"/>
    <numFmt numFmtId="166" formatCode="###0.00;\-###0.00"/>
    <numFmt numFmtId="167" formatCode="###0.000000;\-###0.000000"/>
  </numFmts>
  <fonts count="19" x14ac:knownFonts="1"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</font>
    <font>
      <sz val="8.25"/>
      <name val="Microsoft Sans Serif"/>
    </font>
    <font>
      <sz val="8.25"/>
      <name val="Microsoft Sans Serif"/>
    </font>
    <font>
      <sz val="8.25"/>
      <name val="Microsoft Sans Serif"/>
    </font>
    <font>
      <sz val="8.25"/>
      <name val="Microsoft Sans Serif"/>
    </font>
    <font>
      <b/>
      <sz val="8.25"/>
      <name val="Microsoft Sans Serif"/>
      <family val="2"/>
    </font>
  </fonts>
  <fills count="9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52">
    <xf numFmtId="0" fontId="1" fillId="0" borderId="0" xfId="0" applyFont="1" applyFill="1" applyBorder="1" applyAlignment="1" applyProtection="1">
      <alignment vertical="top"/>
      <protection locked="0"/>
    </xf>
    <xf numFmtId="0" fontId="2" fillId="0" borderId="0" xfId="0" applyFont="1" applyFill="1" applyBorder="1" applyAlignment="1" applyProtection="1">
      <alignment vertical="center"/>
    </xf>
    <xf numFmtId="0" fontId="3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 applyProtection="1">
      <alignment horizontal="center" vertical="center" wrapText="1"/>
      <protection locked="0"/>
    </xf>
    <xf numFmtId="0" fontId="5" fillId="3" borderId="0" xfId="0" applyFont="1" applyFill="1" applyBorder="1" applyAlignment="1" applyProtection="1">
      <alignment horizontal="center" vertical="center"/>
      <protection locked="0"/>
    </xf>
    <xf numFmtId="49" fontId="6" fillId="4" borderId="0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 applyFill="1" applyBorder="1" applyAlignment="1" applyProtection="1">
      <alignment vertical="center"/>
    </xf>
    <xf numFmtId="49" fontId="8" fillId="0" borderId="0" xfId="0" applyNumberFormat="1" applyFont="1" applyFill="1" applyBorder="1" applyAlignment="1" applyProtection="1">
      <alignment vertical="center"/>
    </xf>
    <xf numFmtId="167" fontId="12" fillId="0" borderId="0" xfId="0" applyNumberFormat="1" applyFont="1" applyFill="1" applyBorder="1" applyAlignment="1" applyProtection="1">
      <alignment vertical="center"/>
    </xf>
    <xf numFmtId="49" fontId="13" fillId="0" borderId="0" xfId="0" applyNumberFormat="1" applyFont="1" applyFill="1" applyBorder="1" applyAlignment="1" applyProtection="1">
      <alignment vertical="center"/>
    </xf>
    <xf numFmtId="164" fontId="14" fillId="0" borderId="0" xfId="0" applyNumberFormat="1" applyFont="1" applyFill="1" applyBorder="1" applyAlignment="1" applyProtection="1">
      <alignment vertical="center"/>
    </xf>
    <xf numFmtId="165" fontId="15" fillId="0" borderId="0" xfId="0" applyNumberFormat="1" applyFont="1" applyFill="1" applyBorder="1" applyAlignment="1" applyProtection="1">
      <alignment vertical="center"/>
    </xf>
    <xf numFmtId="166" fontId="16" fillId="0" borderId="0" xfId="0" applyNumberFormat="1" applyFont="1" applyFill="1" applyBorder="1" applyAlignment="1" applyProtection="1">
      <alignment vertical="center"/>
    </xf>
    <xf numFmtId="167" fontId="17" fillId="0" borderId="0" xfId="0" applyNumberFormat="1" applyFont="1" applyFill="1" applyBorder="1" applyAlignment="1" applyProtection="1">
      <alignment vertical="center"/>
    </xf>
    <xf numFmtId="49" fontId="8" fillId="5" borderId="0" xfId="0" applyNumberFormat="1" applyFont="1" applyFill="1" applyBorder="1" applyAlignment="1" applyProtection="1">
      <alignment vertical="center"/>
    </xf>
    <xf numFmtId="164" fontId="9" fillId="5" borderId="0" xfId="0" applyNumberFormat="1" applyFont="1" applyFill="1" applyBorder="1" applyAlignment="1" applyProtection="1">
      <alignment vertical="center"/>
    </xf>
    <xf numFmtId="165" fontId="10" fillId="5" borderId="0" xfId="0" applyNumberFormat="1" applyFont="1" applyFill="1" applyBorder="1" applyAlignment="1" applyProtection="1">
      <alignment vertical="center"/>
    </xf>
    <xf numFmtId="166" fontId="11" fillId="5" borderId="0" xfId="0" applyNumberFormat="1" applyFont="1" applyFill="1" applyBorder="1" applyAlignment="1" applyProtection="1">
      <alignment vertical="center"/>
    </xf>
    <xf numFmtId="49" fontId="13" fillId="5" borderId="0" xfId="0" applyNumberFormat="1" applyFont="1" applyFill="1" applyBorder="1" applyAlignment="1" applyProtection="1">
      <alignment vertical="center"/>
    </xf>
    <xf numFmtId="164" fontId="14" fillId="5" borderId="0" xfId="0" applyNumberFormat="1" applyFont="1" applyFill="1" applyBorder="1" applyAlignment="1" applyProtection="1">
      <alignment vertical="center"/>
    </xf>
    <xf numFmtId="165" fontId="15" fillId="5" borderId="0" xfId="0" applyNumberFormat="1" applyFont="1" applyFill="1" applyBorder="1" applyAlignment="1" applyProtection="1">
      <alignment vertical="center"/>
    </xf>
    <xf numFmtId="166" fontId="16" fillId="5" borderId="0" xfId="0" applyNumberFormat="1" applyFont="1" applyFill="1" applyBorder="1" applyAlignment="1" applyProtection="1">
      <alignment vertical="center"/>
    </xf>
    <xf numFmtId="49" fontId="8" fillId="6" borderId="0" xfId="0" applyNumberFormat="1" applyFont="1" applyFill="1" applyBorder="1" applyAlignment="1" applyProtection="1">
      <alignment vertical="center"/>
    </xf>
    <xf numFmtId="164" fontId="9" fillId="6" borderId="0" xfId="0" applyNumberFormat="1" applyFont="1" applyFill="1" applyBorder="1" applyAlignment="1" applyProtection="1">
      <alignment vertical="center"/>
    </xf>
    <xf numFmtId="165" fontId="10" fillId="6" borderId="0" xfId="0" applyNumberFormat="1" applyFont="1" applyFill="1" applyBorder="1" applyAlignment="1" applyProtection="1">
      <alignment vertical="center"/>
    </xf>
    <xf numFmtId="166" fontId="11" fillId="6" borderId="0" xfId="0" applyNumberFormat="1" applyFont="1" applyFill="1" applyBorder="1" applyAlignment="1" applyProtection="1">
      <alignment vertical="center"/>
    </xf>
    <xf numFmtId="49" fontId="13" fillId="6" borderId="0" xfId="0" applyNumberFormat="1" applyFont="1" applyFill="1" applyBorder="1" applyAlignment="1" applyProtection="1">
      <alignment vertical="center"/>
    </xf>
    <xf numFmtId="164" fontId="14" fillId="6" borderId="0" xfId="0" applyNumberFormat="1" applyFont="1" applyFill="1" applyBorder="1" applyAlignment="1" applyProtection="1">
      <alignment vertical="center"/>
    </xf>
    <xf numFmtId="165" fontId="15" fillId="6" borderId="0" xfId="0" applyNumberFormat="1" applyFont="1" applyFill="1" applyBorder="1" applyAlignment="1" applyProtection="1">
      <alignment vertical="center"/>
    </xf>
    <xf numFmtId="166" fontId="16" fillId="6" borderId="0" xfId="0" applyNumberFormat="1" applyFont="1" applyFill="1" applyBorder="1" applyAlignment="1" applyProtection="1">
      <alignment vertical="center"/>
    </xf>
    <xf numFmtId="49" fontId="13" fillId="7" borderId="0" xfId="0" applyNumberFormat="1" applyFont="1" applyFill="1" applyBorder="1" applyAlignment="1" applyProtection="1">
      <alignment vertical="center"/>
    </xf>
    <xf numFmtId="164" fontId="14" fillId="7" borderId="0" xfId="0" applyNumberFormat="1" applyFont="1" applyFill="1" applyBorder="1" applyAlignment="1" applyProtection="1">
      <alignment vertical="center"/>
    </xf>
    <xf numFmtId="165" fontId="15" fillId="7" borderId="0" xfId="0" applyNumberFormat="1" applyFont="1" applyFill="1" applyBorder="1" applyAlignment="1" applyProtection="1">
      <alignment vertical="center"/>
    </xf>
    <xf numFmtId="166" fontId="16" fillId="7" borderId="0" xfId="0" applyNumberFormat="1" applyFont="1" applyFill="1" applyBorder="1" applyAlignment="1" applyProtection="1">
      <alignment vertical="center"/>
    </xf>
    <xf numFmtId="49" fontId="8" fillId="7" borderId="0" xfId="0" applyNumberFormat="1" applyFont="1" applyFill="1" applyBorder="1" applyAlignment="1" applyProtection="1">
      <alignment vertical="center"/>
    </xf>
    <xf numFmtId="164" fontId="9" fillId="7" borderId="0" xfId="0" applyNumberFormat="1" applyFont="1" applyFill="1" applyBorder="1" applyAlignment="1" applyProtection="1">
      <alignment vertical="center"/>
    </xf>
    <xf numFmtId="165" fontId="10" fillId="7" borderId="0" xfId="0" applyNumberFormat="1" applyFont="1" applyFill="1" applyBorder="1" applyAlignment="1" applyProtection="1">
      <alignment vertical="center"/>
    </xf>
    <xf numFmtId="166" fontId="11" fillId="7" borderId="0" xfId="0" applyNumberFormat="1" applyFont="1" applyFill="1" applyBorder="1" applyAlignment="1" applyProtection="1">
      <alignment vertical="center"/>
    </xf>
    <xf numFmtId="49" fontId="13" fillId="8" borderId="0" xfId="0" applyNumberFormat="1" applyFont="1" applyFill="1" applyBorder="1" applyAlignment="1" applyProtection="1">
      <alignment vertical="center"/>
    </xf>
    <xf numFmtId="164" fontId="14" fillId="8" borderId="0" xfId="0" applyNumberFormat="1" applyFont="1" applyFill="1" applyBorder="1" applyAlignment="1" applyProtection="1">
      <alignment vertical="center"/>
    </xf>
    <xf numFmtId="165" fontId="15" fillId="8" borderId="0" xfId="0" applyNumberFormat="1" applyFont="1" applyFill="1" applyBorder="1" applyAlignment="1" applyProtection="1">
      <alignment vertical="center"/>
    </xf>
    <xf numFmtId="166" fontId="16" fillId="8" borderId="0" xfId="0" applyNumberFormat="1" applyFont="1" applyFill="1" applyBorder="1" applyAlignment="1" applyProtection="1">
      <alignment vertical="center"/>
    </xf>
    <xf numFmtId="49" fontId="8" fillId="8" borderId="0" xfId="0" applyNumberFormat="1" applyFont="1" applyFill="1" applyBorder="1" applyAlignment="1" applyProtection="1">
      <alignment vertical="center"/>
    </xf>
    <xf numFmtId="164" fontId="9" fillId="8" borderId="0" xfId="0" applyNumberFormat="1" applyFont="1" applyFill="1" applyBorder="1" applyAlignment="1" applyProtection="1">
      <alignment vertical="center"/>
    </xf>
    <xf numFmtId="165" fontId="10" fillId="8" borderId="0" xfId="0" applyNumberFormat="1" applyFont="1" applyFill="1" applyBorder="1" applyAlignment="1" applyProtection="1">
      <alignment vertical="center"/>
    </xf>
    <xf numFmtId="166" fontId="11" fillId="8" borderId="0" xfId="0" applyNumberFormat="1" applyFont="1" applyFill="1" applyBorder="1" applyAlignment="1" applyProtection="1">
      <alignment vertical="center"/>
    </xf>
    <xf numFmtId="167" fontId="2" fillId="0" borderId="0" xfId="0" applyNumberFormat="1" applyFont="1" applyAlignment="1" applyProtection="1">
      <alignment vertical="center"/>
    </xf>
    <xf numFmtId="0" fontId="2" fillId="0" borderId="0" xfId="0" applyFont="1" applyAlignment="1" applyProtection="1">
      <alignment vertical="center"/>
    </xf>
    <xf numFmtId="167" fontId="0" fillId="0" borderId="0" xfId="0" applyNumberFormat="1" applyAlignment="1" applyProtection="1">
      <alignment vertical="center"/>
    </xf>
    <xf numFmtId="167" fontId="1" fillId="0" borderId="0" xfId="0" applyNumberFormat="1" applyFont="1" applyAlignment="1" applyProtection="1">
      <alignment vertical="center"/>
    </xf>
    <xf numFmtId="0" fontId="18" fillId="2" borderId="0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49"/>
  <sheetViews>
    <sheetView tabSelected="1" zoomScale="82" workbookViewId="0">
      <pane xSplit="1" ySplit="1" topLeftCell="AO2" activePane="bottomRight" state="frozen"/>
      <selection activeCell="B2" sqref="B2"/>
      <selection pane="topRight" activeCell="B2" sqref="B2"/>
      <selection pane="bottomLeft" activeCell="B2" sqref="B2"/>
      <selection pane="bottomRight" activeCell="BH13" sqref="BH13:BH14"/>
    </sheetView>
  </sheetViews>
  <sheetFormatPr defaultColWidth="10" defaultRowHeight="15" customHeight="1" x14ac:dyDescent="0.25"/>
  <cols>
    <col min="1" max="1" width="1.44140625" style="4" customWidth="1"/>
    <col min="2" max="2" width="25" style="9" hidden="1" customWidth="1"/>
    <col min="3" max="3" width="13.33203125" style="9" customWidth="1"/>
    <col min="4" max="4" width="20" style="9" customWidth="1"/>
    <col min="5" max="5" width="10" style="9" customWidth="1"/>
    <col min="6" max="6" width="15" style="10" customWidth="1"/>
    <col min="7" max="10" width="15" style="10" hidden="1" customWidth="1"/>
    <col min="11" max="12" width="15" style="10" customWidth="1"/>
    <col min="13" max="33" width="15" style="10" hidden="1" customWidth="1"/>
    <col min="34" max="34" width="15" style="11" hidden="1" customWidth="1"/>
    <col min="35" max="35" width="15" style="12" customWidth="1"/>
    <col min="36" max="36" width="15" style="10" hidden="1" customWidth="1"/>
    <col min="37" max="37" width="15" style="10" customWidth="1"/>
    <col min="38" max="38" width="15" style="13" customWidth="1"/>
    <col min="39" max="39" width="10" style="1" customWidth="1"/>
    <col min="40" max="16384" width="10" style="1"/>
  </cols>
  <sheetData>
    <row r="1" spans="1:60" s="2" customFormat="1" ht="41.25" customHeight="1" x14ac:dyDescent="0.25">
      <c r="A1" s="5"/>
      <c r="B1" s="3" t="s">
        <v>0</v>
      </c>
      <c r="C1" s="3" t="s">
        <v>1</v>
      </c>
      <c r="D1" s="3" t="s">
        <v>2</v>
      </c>
      <c r="E1" s="3" t="s">
        <v>3</v>
      </c>
      <c r="F1" s="50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</row>
    <row r="2" spans="1:60" ht="15" customHeight="1" x14ac:dyDescent="0.25">
      <c r="B2" s="7" t="s">
        <v>37</v>
      </c>
      <c r="C2" s="14" t="s">
        <v>38</v>
      </c>
      <c r="D2" s="14" t="s">
        <v>39</v>
      </c>
      <c r="E2" s="14" t="s">
        <v>40</v>
      </c>
      <c r="F2" s="15">
        <v>0.79612552035518203</v>
      </c>
      <c r="G2" s="15">
        <v>-0.328932185076098</v>
      </c>
      <c r="H2" s="15">
        <v>8.58796745895226E-3</v>
      </c>
      <c r="I2" s="15">
        <v>9.2082160402344199E-3</v>
      </c>
      <c r="J2" s="15"/>
      <c r="K2" s="15">
        <v>6.0726100268345398E-3</v>
      </c>
      <c r="L2" s="15">
        <v>6.5111920046804998E-3</v>
      </c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6">
        <v>2</v>
      </c>
      <c r="AI2" s="17">
        <v>14.542412333096101</v>
      </c>
      <c r="AJ2" s="15">
        <v>1.6086296708985801E-2</v>
      </c>
      <c r="AK2" s="15">
        <v>1.13747294871027E-2</v>
      </c>
      <c r="AL2" s="8"/>
    </row>
    <row r="3" spans="1:60" ht="15" customHeight="1" x14ac:dyDescent="0.25">
      <c r="B3" s="7" t="s">
        <v>37</v>
      </c>
      <c r="C3" s="14" t="s">
        <v>38</v>
      </c>
      <c r="D3" s="14" t="s">
        <v>41</v>
      </c>
      <c r="E3" s="14" t="s">
        <v>40</v>
      </c>
      <c r="F3" s="15">
        <v>0.84275538607188205</v>
      </c>
      <c r="G3" s="15">
        <v>-0.24681415234638701</v>
      </c>
      <c r="H3" s="15">
        <v>3.4240993656712397E-2</v>
      </c>
      <c r="I3" s="15">
        <v>3.43425343657945E-2</v>
      </c>
      <c r="J3" s="15"/>
      <c r="K3" s="15">
        <v>2.4212038809226899E-2</v>
      </c>
      <c r="L3" s="15">
        <v>2.4283838933185399E-2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6">
        <v>2</v>
      </c>
      <c r="AI3" s="17">
        <v>14.4575311883242</v>
      </c>
      <c r="AJ3" s="15">
        <v>6.0588758401526797E-2</v>
      </c>
      <c r="AK3" s="15">
        <v>4.2842721929393E-2</v>
      </c>
      <c r="AL3" s="8"/>
      <c r="AM3" s="46"/>
      <c r="AN3" s="47" t="s">
        <v>58</v>
      </c>
      <c r="AO3" s="47" t="s">
        <v>59</v>
      </c>
      <c r="AP3" s="47" t="s">
        <v>60</v>
      </c>
      <c r="AQ3" s="47" t="s">
        <v>61</v>
      </c>
      <c r="AR3" s="47" t="s">
        <v>62</v>
      </c>
      <c r="AS3" s="47" t="s">
        <v>63</v>
      </c>
      <c r="AT3" s="47"/>
    </row>
    <row r="4" spans="1:60" ht="15" customHeight="1" x14ac:dyDescent="0.25">
      <c r="B4" s="7" t="s">
        <v>37</v>
      </c>
      <c r="C4" s="14" t="s">
        <v>38</v>
      </c>
      <c r="D4" s="14" t="s">
        <v>42</v>
      </c>
      <c r="E4" s="14" t="s">
        <v>40</v>
      </c>
      <c r="F4" s="15">
        <v>1.0798126370169201</v>
      </c>
      <c r="G4" s="15">
        <v>0.110781005818086</v>
      </c>
      <c r="H4" s="15">
        <v>8.8704798699939195E-3</v>
      </c>
      <c r="I4" s="15">
        <v>8.9993710833948994E-3</v>
      </c>
      <c r="J4" s="15"/>
      <c r="K4" s="15">
        <v>6.2723764684514604E-3</v>
      </c>
      <c r="L4" s="15">
        <v>6.3635163194826604E-3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6">
        <v>2</v>
      </c>
      <c r="AI4" s="17">
        <v>14.0879036487829</v>
      </c>
      <c r="AJ4" s="15">
        <v>1.2250277861114999E-2</v>
      </c>
      <c r="AK4" s="15">
        <v>8.6622545470138607E-3</v>
      </c>
      <c r="AL4" s="8"/>
      <c r="AM4" s="46" t="s">
        <v>64</v>
      </c>
      <c r="AN4" s="15">
        <v>1.0798126370169201</v>
      </c>
      <c r="AO4" s="15">
        <v>0.74911301571742495</v>
      </c>
      <c r="AP4" s="15">
        <v>0.79612552035518203</v>
      </c>
      <c r="AQ4" s="19">
        <v>0.80367297144611605</v>
      </c>
      <c r="AR4" s="19">
        <v>0.79144687309478601</v>
      </c>
      <c r="AS4" s="15">
        <v>2.1056932524238201</v>
      </c>
      <c r="AT4" s="47"/>
    </row>
    <row r="5" spans="1:60" ht="15" customHeight="1" x14ac:dyDescent="0.25">
      <c r="B5" s="7" t="s">
        <v>37</v>
      </c>
      <c r="C5" s="14" t="s">
        <v>38</v>
      </c>
      <c r="D5" s="14" t="s">
        <v>43</v>
      </c>
      <c r="E5" s="14" t="s">
        <v>40</v>
      </c>
      <c r="F5" s="15">
        <v>1.0362047064434601</v>
      </c>
      <c r="G5" s="15">
        <v>5.1309041438736797E-2</v>
      </c>
      <c r="H5" s="15">
        <v>7.8149892555587103E-2</v>
      </c>
      <c r="I5" s="15">
        <v>7.8152803468934495E-2</v>
      </c>
      <c r="J5" s="15"/>
      <c r="K5" s="15">
        <v>5.5260318975055699E-2</v>
      </c>
      <c r="L5" s="15">
        <v>5.5262377301623103E-2</v>
      </c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6">
        <v>2</v>
      </c>
      <c r="AI5" s="17">
        <v>14.149376729061901</v>
      </c>
      <c r="AJ5" s="15">
        <v>0.112468280471892</v>
      </c>
      <c r="AK5" s="15">
        <v>7.9527083790065206E-2</v>
      </c>
      <c r="AL5" s="8"/>
      <c r="AM5" s="48" t="s">
        <v>65</v>
      </c>
      <c r="AN5" s="15">
        <v>1.0362047064434601</v>
      </c>
      <c r="AO5" s="15">
        <v>0.98098235284893398</v>
      </c>
      <c r="AP5" s="15">
        <v>0.84275538607188205</v>
      </c>
      <c r="AQ5" s="19">
        <v>0.66023271282392904</v>
      </c>
      <c r="AR5" s="19">
        <v>0.82384117362236398</v>
      </c>
      <c r="AS5" s="15">
        <v>2.1461060359482298</v>
      </c>
      <c r="AT5" s="47"/>
    </row>
    <row r="6" spans="1:60" ht="15" customHeight="1" x14ac:dyDescent="0.25">
      <c r="B6" s="7" t="s">
        <v>37</v>
      </c>
      <c r="C6" s="14" t="s">
        <v>38</v>
      </c>
      <c r="D6" s="14" t="s">
        <v>44</v>
      </c>
      <c r="E6" s="14" t="s">
        <v>40</v>
      </c>
      <c r="F6" s="15">
        <v>0.74911301571742495</v>
      </c>
      <c r="G6" s="15">
        <v>-0.41674470608943898</v>
      </c>
      <c r="H6" s="15">
        <v>1.7929765565331199E-2</v>
      </c>
      <c r="I6" s="15">
        <v>1.8362023834741E-2</v>
      </c>
      <c r="J6" s="15"/>
      <c r="K6" s="15">
        <v>1.2678258816330799E-2</v>
      </c>
      <c r="L6" s="15">
        <v>1.29839115698543E-2</v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6">
        <v>2</v>
      </c>
      <c r="AI6" s="17">
        <v>14.6331795746037</v>
      </c>
      <c r="AJ6" s="15">
        <v>3.5692297046392998E-2</v>
      </c>
      <c r="AK6" s="15">
        <v>2.52382652776291E-2</v>
      </c>
      <c r="AL6" s="8"/>
      <c r="AM6" s="49"/>
      <c r="AN6" s="47"/>
      <c r="AO6" s="47"/>
      <c r="AP6" s="47"/>
      <c r="AQ6" s="47"/>
      <c r="AR6" s="47"/>
      <c r="AS6" s="47"/>
      <c r="AT6" s="47"/>
    </row>
    <row r="7" spans="1:60" ht="15" customHeight="1" x14ac:dyDescent="0.25">
      <c r="B7" s="7" t="s">
        <v>37</v>
      </c>
      <c r="C7" s="14" t="s">
        <v>38</v>
      </c>
      <c r="D7" s="14" t="s">
        <v>45</v>
      </c>
      <c r="E7" s="14" t="s">
        <v>40</v>
      </c>
      <c r="F7" s="15">
        <v>0.98098235284893398</v>
      </c>
      <c r="G7" s="15">
        <v>-2.7700911232171999E-2</v>
      </c>
      <c r="H7" s="15">
        <v>2.6195580774502701E-2</v>
      </c>
      <c r="I7" s="15">
        <v>2.6197849335661601E-2</v>
      </c>
      <c r="J7" s="15"/>
      <c r="K7" s="15">
        <v>1.8523072802770799E-2</v>
      </c>
      <c r="L7" s="15">
        <v>1.85246769177498E-2</v>
      </c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6">
        <v>2</v>
      </c>
      <c r="AI7" s="17">
        <v>14.231045212927601</v>
      </c>
      <c r="AJ7" s="15">
        <v>3.9821174691996301E-2</v>
      </c>
      <c r="AK7" s="15">
        <v>2.8157822659524701E-2</v>
      </c>
      <c r="AL7" s="8"/>
      <c r="AM7" s="46" t="s">
        <v>64</v>
      </c>
      <c r="AN7" s="23">
        <v>0.67968975043110003</v>
      </c>
      <c r="AO7" s="23">
        <v>0.29184545468665601</v>
      </c>
      <c r="AP7" s="23">
        <v>0.26039838383341002</v>
      </c>
      <c r="AQ7" s="27">
        <v>2.34281822113434</v>
      </c>
      <c r="AR7" s="27">
        <v>1.5037782250449301</v>
      </c>
      <c r="AS7" s="27">
        <v>0.57166710262417997</v>
      </c>
      <c r="AT7" s="47" t="s">
        <v>66</v>
      </c>
      <c r="AV7" s="51">
        <f>AN7/AN4</f>
        <v>0.62945156143829206</v>
      </c>
      <c r="AW7" s="51">
        <f>AO7/AO4</f>
        <v>0.38958801751315969</v>
      </c>
      <c r="AX7" s="51">
        <f t="shared" ref="AX7:BA7" si="0">AP7/AP4</f>
        <v>0.32708207082375196</v>
      </c>
      <c r="AY7" s="51">
        <f t="shared" si="0"/>
        <v>2.9151387496816161</v>
      </c>
      <c r="AZ7" s="51">
        <f t="shared" si="0"/>
        <v>1.9000368517026578</v>
      </c>
      <c r="BA7" s="51">
        <f t="shared" si="0"/>
        <v>0.27148641045705291</v>
      </c>
      <c r="BC7" s="1">
        <f>AV7/0.62945</f>
        <v>1.0000024806391168</v>
      </c>
      <c r="BD7" s="1">
        <f>AW7/0.62945</f>
        <v>0.61893401781421831</v>
      </c>
      <c r="BE7" s="1">
        <f t="shared" ref="BD7:BH8" si="1">AX7/0.62945</f>
        <v>0.51963153677615692</v>
      </c>
      <c r="BF7" s="1">
        <f t="shared" si="1"/>
        <v>4.6312475171683474</v>
      </c>
      <c r="BG7" s="1">
        <f t="shared" si="1"/>
        <v>3.0185667673407863</v>
      </c>
      <c r="BH7" s="1">
        <f t="shared" si="1"/>
        <v>0.4313073484106012</v>
      </c>
    </row>
    <row r="8" spans="1:60" ht="15" customHeight="1" x14ac:dyDescent="0.25">
      <c r="B8" s="9" t="s">
        <v>37</v>
      </c>
      <c r="C8" s="18" t="s">
        <v>38</v>
      </c>
      <c r="D8" s="18" t="s">
        <v>46</v>
      </c>
      <c r="E8" s="18" t="s">
        <v>40</v>
      </c>
      <c r="F8" s="19">
        <v>0.79144687309478601</v>
      </c>
      <c r="G8" s="19">
        <v>-0.33743558406389801</v>
      </c>
      <c r="H8" s="19">
        <v>1.45322398435983E-3</v>
      </c>
      <c r="I8" s="19">
        <v>3.68671479495213E-3</v>
      </c>
      <c r="J8" s="19"/>
      <c r="K8" s="19">
        <v>1.02758453392377E-3</v>
      </c>
      <c r="L8" s="19">
        <v>2.6069010318114198E-3</v>
      </c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20">
        <v>2</v>
      </c>
      <c r="AI8" s="21">
        <v>14.5512018549166</v>
      </c>
      <c r="AJ8" s="19">
        <v>2.73815494372776E-3</v>
      </c>
      <c r="AK8" s="19">
        <v>1.93616792864937E-3</v>
      </c>
      <c r="AM8" s="48" t="s">
        <v>65</v>
      </c>
      <c r="AN8" s="23">
        <v>0.86227768995377596</v>
      </c>
      <c r="AO8" s="23">
        <v>0.59077395551145695</v>
      </c>
      <c r="AP8" s="23">
        <v>0.48331701771506302</v>
      </c>
      <c r="AQ8" s="27">
        <v>2.89701351556094</v>
      </c>
      <c r="AR8" s="27">
        <v>2.1114987335544502</v>
      </c>
      <c r="AS8" s="27">
        <v>0.66398470547839805</v>
      </c>
      <c r="AT8" s="47"/>
      <c r="AV8" s="51">
        <f>AN8/AN5</f>
        <v>0.83214994546140453</v>
      </c>
      <c r="AW8" s="51">
        <f t="shared" ref="AW8:AZ8" si="2">AO8/AO5</f>
        <v>0.60222689408810692</v>
      </c>
      <c r="AX8" s="51">
        <f t="shared" si="2"/>
        <v>0.57349620744380381</v>
      </c>
      <c r="AY8" s="51">
        <f t="shared" si="2"/>
        <v>4.3878672766302573</v>
      </c>
      <c r="AZ8" s="51">
        <f t="shared" si="2"/>
        <v>2.5629924810268445</v>
      </c>
      <c r="BA8" s="51">
        <f>AS8/AS5</f>
        <v>0.30939044686346301</v>
      </c>
      <c r="BC8" s="1">
        <f>AV8/0.62945</f>
        <v>1.3220270799291518</v>
      </c>
      <c r="BD8" s="1">
        <f t="shared" si="1"/>
        <v>0.95675096367957257</v>
      </c>
      <c r="BE8" s="1">
        <f t="shared" si="1"/>
        <v>0.91110685113004031</v>
      </c>
      <c r="BF8" s="1">
        <f t="shared" si="1"/>
        <v>6.9709544469461555</v>
      </c>
      <c r="BG8" s="1">
        <f t="shared" si="1"/>
        <v>4.0717967765936054</v>
      </c>
      <c r="BH8" s="1">
        <f t="shared" si="1"/>
        <v>0.49152505657870049</v>
      </c>
    </row>
    <row r="9" spans="1:60" ht="15" customHeight="1" x14ac:dyDescent="0.25">
      <c r="B9" s="9" t="s">
        <v>37</v>
      </c>
      <c r="C9" s="18" t="s">
        <v>38</v>
      </c>
      <c r="D9" s="18" t="s">
        <v>47</v>
      </c>
      <c r="E9" s="18" t="s">
        <v>40</v>
      </c>
      <c r="F9" s="19">
        <v>0.82384117362236398</v>
      </c>
      <c r="G9" s="19">
        <v>-0.27956186441266201</v>
      </c>
      <c r="H9" s="19">
        <v>5.4977808782108797E-2</v>
      </c>
      <c r="I9" s="19">
        <v>5.5055404163367003E-2</v>
      </c>
      <c r="J9" s="19"/>
      <c r="K9" s="19">
        <v>3.8875181404606503E-2</v>
      </c>
      <c r="L9" s="19">
        <v>3.8930049624882897E-2</v>
      </c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20">
        <v>2</v>
      </c>
      <c r="AI9" s="21">
        <v>14.4913807971914</v>
      </c>
      <c r="AJ9" s="19">
        <v>9.9515599538252494E-2</v>
      </c>
      <c r="AK9" s="19">
        <v>7.0368155267343205E-2</v>
      </c>
      <c r="AM9" s="46"/>
      <c r="AN9" s="47"/>
      <c r="AO9" s="47"/>
      <c r="AP9" s="47"/>
      <c r="AQ9" s="47"/>
      <c r="AR9" s="47"/>
      <c r="AS9" s="47"/>
      <c r="AT9" s="47"/>
      <c r="AV9" s="51"/>
      <c r="AW9" s="51"/>
      <c r="AX9" s="51"/>
      <c r="AY9" s="51"/>
      <c r="AZ9" s="51"/>
      <c r="BA9" s="51"/>
    </row>
    <row r="10" spans="1:60" ht="15" customHeight="1" x14ac:dyDescent="0.25">
      <c r="B10" s="9" t="s">
        <v>37</v>
      </c>
      <c r="C10" s="18" t="s">
        <v>38</v>
      </c>
      <c r="D10" s="18" t="s">
        <v>48</v>
      </c>
      <c r="E10" s="18" t="s">
        <v>40</v>
      </c>
      <c r="F10" s="19">
        <v>0.80367297144611605</v>
      </c>
      <c r="G10" s="19">
        <v>-0.31531953185657702</v>
      </c>
      <c r="H10" s="19">
        <v>2.7422719882160999E-2</v>
      </c>
      <c r="I10" s="19">
        <v>2.76105442872892E-2</v>
      </c>
      <c r="J10" s="19"/>
      <c r="K10" s="19">
        <v>1.9390791187255198E-2</v>
      </c>
      <c r="L10" s="19">
        <v>1.9523603097793701E-2</v>
      </c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20">
        <v>2</v>
      </c>
      <c r="AI10" s="21">
        <v>14.528341640578899</v>
      </c>
      <c r="AJ10" s="19">
        <v>5.0883666237233602E-2</v>
      </c>
      <c r="AK10" s="19">
        <v>3.59801854479809E-2</v>
      </c>
      <c r="AM10" s="46" t="s">
        <v>64</v>
      </c>
      <c r="AN10" s="35">
        <v>0.672577455065962</v>
      </c>
      <c r="AO10" s="35">
        <v>0.43170249538614602</v>
      </c>
      <c r="AP10" s="31">
        <v>1.12019158395067</v>
      </c>
      <c r="AQ10" s="31">
        <v>1.2662627146738801</v>
      </c>
      <c r="AR10" s="31">
        <v>0.92777309619223802</v>
      </c>
      <c r="AS10" s="31">
        <v>0.74455394798403896</v>
      </c>
      <c r="AT10" s="47" t="s">
        <v>67</v>
      </c>
      <c r="AV10" s="51">
        <f>AN10/AN4</f>
        <v>0.62286496009531611</v>
      </c>
      <c r="AW10" s="51">
        <f t="shared" ref="AW10:BA10" si="3">AO10/AO4</f>
        <v>0.57628486800847389</v>
      </c>
      <c r="AX10" s="51">
        <f t="shared" si="3"/>
        <v>1.4070539824560702</v>
      </c>
      <c r="AY10" s="51">
        <f t="shared" si="3"/>
        <v>1.5755945013248207</v>
      </c>
      <c r="AZ10" s="51">
        <f t="shared" si="3"/>
        <v>1.1722493672435359</v>
      </c>
      <c r="BA10" s="51">
        <f t="shared" si="3"/>
        <v>0.35359088847675141</v>
      </c>
      <c r="BC10" s="1">
        <f>AV10/0.62286</f>
        <v>1.0000079634192534</v>
      </c>
      <c r="BD10" s="1">
        <f t="shared" ref="BD10:BH11" si="4">AW10/0.62286</f>
        <v>0.92522375495050879</v>
      </c>
      <c r="BE10" s="1">
        <f t="shared" si="4"/>
        <v>2.2590212607264397</v>
      </c>
      <c r="BF10" s="1">
        <f t="shared" si="4"/>
        <v>2.5296125956472091</v>
      </c>
      <c r="BG10" s="1">
        <f t="shared" si="4"/>
        <v>1.8820431031749285</v>
      </c>
      <c r="BH10" s="1">
        <f t="shared" si="4"/>
        <v>0.56768918934712687</v>
      </c>
    </row>
    <row r="11" spans="1:60" ht="15" customHeight="1" x14ac:dyDescent="0.25">
      <c r="B11" s="9" t="s">
        <v>37</v>
      </c>
      <c r="C11" s="18" t="s">
        <v>38</v>
      </c>
      <c r="D11" s="18" t="s">
        <v>49</v>
      </c>
      <c r="E11" s="18" t="s">
        <v>40</v>
      </c>
      <c r="F11" s="19">
        <v>0.66023271282392904</v>
      </c>
      <c r="G11" s="19">
        <v>-0.59895347274670896</v>
      </c>
      <c r="H11" s="19">
        <v>4.01863361693722E-2</v>
      </c>
      <c r="I11" s="19">
        <v>4.0498301420919897E-2</v>
      </c>
      <c r="J11" s="19"/>
      <c r="K11" s="19">
        <v>2.8416030816405299E-2</v>
      </c>
      <c r="L11" s="19">
        <v>2.8636623561269298E-2</v>
      </c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20">
        <v>2</v>
      </c>
      <c r="AI11" s="21">
        <v>14.8215193117749</v>
      </c>
      <c r="AJ11" s="19">
        <v>9.0767130248840797E-2</v>
      </c>
      <c r="AK11" s="19">
        <v>6.4182053307797901E-2</v>
      </c>
      <c r="AM11" s="48" t="s">
        <v>65</v>
      </c>
      <c r="AN11" s="31">
        <v>0.73671586834787095</v>
      </c>
      <c r="AO11" s="35">
        <v>0.56295634452496301</v>
      </c>
      <c r="AP11" s="31">
        <v>1.4926844671188799</v>
      </c>
      <c r="AQ11" s="31">
        <v>1.09803399552555</v>
      </c>
      <c r="AR11" s="31">
        <v>1.4251429723164399</v>
      </c>
      <c r="AS11" s="31">
        <v>1.03224555706112</v>
      </c>
      <c r="AT11" s="47"/>
      <c r="AV11" s="51">
        <f>AN11/AN5</f>
        <v>0.71097521924647755</v>
      </c>
      <c r="AW11" s="51">
        <f t="shared" ref="AW11:BA11" si="5">AO11/AO5</f>
        <v>0.57387000172841562</v>
      </c>
      <c r="AX11" s="51">
        <f t="shared" si="5"/>
        <v>1.7711954047263281</v>
      </c>
      <c r="AY11" s="51">
        <f t="shared" si="5"/>
        <v>1.663101470433159</v>
      </c>
      <c r="AZ11" s="51">
        <f t="shared" si="5"/>
        <v>1.7298758764995925</v>
      </c>
      <c r="BA11" s="51">
        <f t="shared" si="5"/>
        <v>0.48098534730835674</v>
      </c>
      <c r="BC11" s="1">
        <f>AV11/0.62286</f>
        <v>1.1414687397593</v>
      </c>
      <c r="BD11" s="1">
        <f t="shared" si="4"/>
        <v>0.92134669384519097</v>
      </c>
      <c r="BE11" s="1">
        <f t="shared" si="4"/>
        <v>2.8436493027748262</v>
      </c>
      <c r="BF11" s="1">
        <f t="shared" si="4"/>
        <v>2.6701047914991478</v>
      </c>
      <c r="BG11" s="1">
        <f t="shared" si="4"/>
        <v>2.7773109149722131</v>
      </c>
      <c r="BH11" s="1">
        <f t="shared" si="4"/>
        <v>0.77222063916186101</v>
      </c>
    </row>
    <row r="12" spans="1:60" ht="15" customHeight="1" x14ac:dyDescent="0.25">
      <c r="B12" s="7" t="s">
        <v>37</v>
      </c>
      <c r="C12" s="14" t="s">
        <v>38</v>
      </c>
      <c r="D12" s="14" t="s">
        <v>50</v>
      </c>
      <c r="E12" s="14" t="s">
        <v>40</v>
      </c>
      <c r="F12" s="15">
        <v>2.1056932524238201</v>
      </c>
      <c r="G12" s="15">
        <v>1.07429528658243</v>
      </c>
      <c r="H12" s="15">
        <v>0.11330602895701</v>
      </c>
      <c r="I12" s="15">
        <v>0.11688425186630701</v>
      </c>
      <c r="J12" s="15"/>
      <c r="K12" s="15">
        <v>8.0119461424821195E-2</v>
      </c>
      <c r="L12" s="15">
        <v>8.2649647108582205E-2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6">
        <v>2</v>
      </c>
      <c r="AI12" s="17">
        <v>13.091968986971599</v>
      </c>
      <c r="AJ12" s="15">
        <v>8.0242628082095799E-2</v>
      </c>
      <c r="AK12" s="15">
        <v>5.6740106457079997E-2</v>
      </c>
      <c r="AL12" s="8"/>
      <c r="AM12" s="46"/>
      <c r="AN12" s="47"/>
      <c r="AO12" s="47"/>
      <c r="AP12" s="47"/>
      <c r="AQ12" s="47"/>
      <c r="AR12" s="47"/>
      <c r="AS12" s="47"/>
      <c r="AT12" s="47"/>
      <c r="AV12" s="51"/>
      <c r="AW12" s="51"/>
      <c r="AX12" s="51"/>
      <c r="AY12" s="51"/>
      <c r="AZ12" s="51"/>
      <c r="BA12" s="51"/>
    </row>
    <row r="13" spans="1:60" s="6" customFormat="1" ht="15" customHeight="1" x14ac:dyDescent="0.25">
      <c r="A13" s="4"/>
      <c r="B13" s="7" t="s">
        <v>37</v>
      </c>
      <c r="C13" s="14" t="s">
        <v>38</v>
      </c>
      <c r="D13" s="14" t="s">
        <v>51</v>
      </c>
      <c r="E13" s="14" t="s">
        <v>40</v>
      </c>
      <c r="F13" s="15">
        <v>2.1461060359482298</v>
      </c>
      <c r="G13" s="15">
        <v>1.1017213592991899</v>
      </c>
      <c r="H13" s="15">
        <v>0.24156219100568799</v>
      </c>
      <c r="I13" s="15">
        <v>0.243417597506602</v>
      </c>
      <c r="J13" s="15"/>
      <c r="K13" s="15">
        <v>0.17081026333840199</v>
      </c>
      <c r="L13" s="15">
        <v>0.172122233857056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6">
        <v>2</v>
      </c>
      <c r="AI13" s="17">
        <v>13.063620080264901</v>
      </c>
      <c r="AJ13" s="15">
        <v>0.16785141803060399</v>
      </c>
      <c r="AK13" s="15">
        <v>0.118688875921218</v>
      </c>
      <c r="AL13" s="8"/>
      <c r="AM13" s="46" t="s">
        <v>64</v>
      </c>
      <c r="AN13" s="39">
        <v>3.16828140462983</v>
      </c>
      <c r="AO13" s="43">
        <v>2.6818250889954598</v>
      </c>
      <c r="AP13" s="39">
        <v>25.763035315538499</v>
      </c>
      <c r="AQ13" s="39">
        <v>6.2694577668209295E-2</v>
      </c>
      <c r="AR13" s="39">
        <v>8.6534998488925E-2</v>
      </c>
      <c r="AS13" s="39">
        <v>9.0152380908586294E-2</v>
      </c>
      <c r="AT13" s="47" t="s">
        <v>68</v>
      </c>
      <c r="AV13" s="51">
        <f>AN13/AN4</f>
        <v>2.9341029138003916</v>
      </c>
      <c r="AW13" s="51">
        <f t="shared" ref="AW13:BA13" si="6">AO13/AO4</f>
        <v>3.5800006577473202</v>
      </c>
      <c r="AX13" s="51">
        <f t="shared" si="6"/>
        <v>32.360519361374855</v>
      </c>
      <c r="AY13" s="51">
        <f t="shared" si="6"/>
        <v>7.8010061176248952E-2</v>
      </c>
      <c r="AZ13" s="51">
        <f t="shared" si="6"/>
        <v>0.10933772237995981</v>
      </c>
      <c r="BA13" s="51">
        <f t="shared" si="6"/>
        <v>4.2813634324379277E-2</v>
      </c>
      <c r="BC13" s="6">
        <f>AV13/2.9341</f>
        <v>1.0000009930814873</v>
      </c>
      <c r="BD13" s="6">
        <f t="shared" ref="BD13:BH14" si="7">AW13/2.9341</f>
        <v>1.2201358705386047</v>
      </c>
      <c r="BE13" s="6">
        <f t="shared" si="7"/>
        <v>11.029112627850058</v>
      </c>
      <c r="BF13" s="6">
        <f t="shared" si="7"/>
        <v>2.6587390060409992E-2</v>
      </c>
      <c r="BG13" s="6">
        <f t="shared" si="7"/>
        <v>3.7264483957588294E-2</v>
      </c>
      <c r="BH13" s="6">
        <f t="shared" si="7"/>
        <v>1.4591743404921195E-2</v>
      </c>
    </row>
    <row r="14" spans="1:60" ht="15" customHeight="1" x14ac:dyDescent="0.25">
      <c r="B14" s="7" t="s">
        <v>52</v>
      </c>
      <c r="C14" s="22" t="s">
        <v>53</v>
      </c>
      <c r="D14" s="22" t="s">
        <v>39</v>
      </c>
      <c r="E14" s="22" t="s">
        <v>40</v>
      </c>
      <c r="F14" s="23">
        <v>0.26039838383341002</v>
      </c>
      <c r="G14" s="23">
        <v>-1.94120760046508</v>
      </c>
      <c r="H14" s="23">
        <v>2.4293153790692001E-3</v>
      </c>
      <c r="I14" s="23">
        <v>7.0475503627292499E-3</v>
      </c>
      <c r="J14" s="23"/>
      <c r="K14" s="23">
        <v>1.7177853781806E-3</v>
      </c>
      <c r="L14" s="23">
        <v>4.9833706522395696E-3</v>
      </c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4">
        <v>2</v>
      </c>
      <c r="AI14" s="25">
        <v>23.870558954308301</v>
      </c>
      <c r="AJ14" s="23">
        <v>1.25660286619099E-2</v>
      </c>
      <c r="AK14" s="23">
        <v>8.8855240794209998E-3</v>
      </c>
      <c r="AL14" s="8"/>
      <c r="AM14" s="48" t="s">
        <v>65</v>
      </c>
      <c r="AN14" s="39">
        <v>2.9395048844520302</v>
      </c>
      <c r="AO14" s="39">
        <v>4.1917362199075798</v>
      </c>
      <c r="AP14" s="39">
        <v>50.788305046190203</v>
      </c>
      <c r="AQ14" s="39">
        <v>0.241557185974939</v>
      </c>
      <c r="AR14" s="39">
        <v>7.7312511232644404E-2</v>
      </c>
      <c r="AS14" s="39">
        <v>8.5565443836585001E-2</v>
      </c>
      <c r="AT14" s="47"/>
      <c r="AV14" s="51">
        <f>AN14/AN5</f>
        <v>2.8367993951129797</v>
      </c>
      <c r="AW14" s="51">
        <f t="shared" ref="AW14:BA14" si="8">AO14/AO5</f>
        <v>4.2729985995508368</v>
      </c>
      <c r="AX14" s="51">
        <f t="shared" si="8"/>
        <v>60.264586718236956</v>
      </c>
      <c r="AY14" s="51">
        <f t="shared" si="8"/>
        <v>0.3658667334760759</v>
      </c>
      <c r="AZ14" s="51">
        <f t="shared" si="8"/>
        <v>9.3843951611094475E-2</v>
      </c>
      <c r="BA14" s="51">
        <f t="shared" si="8"/>
        <v>3.9870091413623458E-2</v>
      </c>
      <c r="BC14" s="6">
        <f>AV14/2.9341</f>
        <v>0.96683800658225005</v>
      </c>
      <c r="BD14" s="6">
        <f t="shared" si="7"/>
        <v>1.4563234380392069</v>
      </c>
      <c r="BE14" s="6">
        <f t="shared" si="7"/>
        <v>20.539377225805854</v>
      </c>
      <c r="BF14" s="6">
        <f t="shared" si="7"/>
        <v>0.12469470484171498</v>
      </c>
      <c r="BG14" s="6">
        <f t="shared" si="7"/>
        <v>3.19838968034813E-2</v>
      </c>
      <c r="BH14" s="6">
        <f t="shared" si="7"/>
        <v>1.35885250719551E-2</v>
      </c>
    </row>
    <row r="15" spans="1:60" ht="15" customHeight="1" x14ac:dyDescent="0.25">
      <c r="B15" s="7" t="s">
        <v>52</v>
      </c>
      <c r="C15" s="22" t="s">
        <v>53</v>
      </c>
      <c r="D15" s="22" t="s">
        <v>41</v>
      </c>
      <c r="E15" s="22" t="s">
        <v>40</v>
      </c>
      <c r="F15" s="23">
        <v>0.48331701771506302</v>
      </c>
      <c r="G15" s="23">
        <v>-1.04895830156825</v>
      </c>
      <c r="H15" s="23">
        <v>5.0515014422524299E-3</v>
      </c>
      <c r="I15" s="23">
        <v>8.3392335765867208E-3</v>
      </c>
      <c r="J15" s="23"/>
      <c r="K15" s="23">
        <v>3.57195092499032E-3</v>
      </c>
      <c r="L15" s="23">
        <v>5.89672861190302E-3</v>
      </c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4">
        <v>2</v>
      </c>
      <c r="AI15" s="25">
        <v>23.0375223073775</v>
      </c>
      <c r="AJ15" s="23">
        <v>1.40779956014937E-2</v>
      </c>
      <c r="AK15" s="23">
        <v>9.9546461553305897E-3</v>
      </c>
      <c r="AL15" s="8"/>
    </row>
    <row r="16" spans="1:60" ht="15" customHeight="1" x14ac:dyDescent="0.25">
      <c r="B16" s="7" t="s">
        <v>52</v>
      </c>
      <c r="C16" s="22" t="s">
        <v>53</v>
      </c>
      <c r="D16" s="22" t="s">
        <v>42</v>
      </c>
      <c r="E16" s="22" t="s">
        <v>40</v>
      </c>
      <c r="F16" s="23">
        <v>0.67968975043110003</v>
      </c>
      <c r="G16" s="23">
        <v>-0.55705172742606601</v>
      </c>
      <c r="H16" s="23">
        <v>8.1859294158137894E-3</v>
      </c>
      <c r="I16" s="23">
        <v>9.5689096471899097E-3</v>
      </c>
      <c r="J16" s="23"/>
      <c r="K16" s="23">
        <v>5.7883262002363604E-3</v>
      </c>
      <c r="L16" s="23">
        <v>6.7662409000893596E-3</v>
      </c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4">
        <v>2</v>
      </c>
      <c r="AI16" s="25">
        <v>22.578260301082501</v>
      </c>
      <c r="AJ16" s="23">
        <v>1.6222198286328302E-2</v>
      </c>
      <c r="AK16" s="23">
        <v>1.1470826414015501E-2</v>
      </c>
      <c r="AL16" s="8"/>
    </row>
    <row r="17" spans="2:38" ht="15" customHeight="1" x14ac:dyDescent="0.25">
      <c r="B17" s="7" t="s">
        <v>52</v>
      </c>
      <c r="C17" s="22" t="s">
        <v>53</v>
      </c>
      <c r="D17" s="22" t="s">
        <v>43</v>
      </c>
      <c r="E17" s="22" t="s">
        <v>40</v>
      </c>
      <c r="F17" s="23">
        <v>0.86227768995377596</v>
      </c>
      <c r="G17" s="23">
        <v>-0.213775541810026</v>
      </c>
      <c r="H17" s="23">
        <v>2.7051075945134801E-2</v>
      </c>
      <c r="I17" s="23">
        <v>2.7158439041708501E-2</v>
      </c>
      <c r="J17" s="23"/>
      <c r="K17" s="23">
        <v>1.9127999239197099E-2</v>
      </c>
      <c r="L17" s="23">
        <v>1.9203916412833599E-2</v>
      </c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4">
        <v>2</v>
      </c>
      <c r="AI17" s="25">
        <v>22.257765072909901</v>
      </c>
      <c r="AJ17" s="23">
        <v>4.2256140217492501E-2</v>
      </c>
      <c r="AK17" s="23">
        <v>2.98796032945585E-2</v>
      </c>
      <c r="AL17" s="8"/>
    </row>
    <row r="18" spans="2:38" ht="15" customHeight="1" x14ac:dyDescent="0.25">
      <c r="B18" s="7" t="s">
        <v>52</v>
      </c>
      <c r="C18" s="22" t="s">
        <v>53</v>
      </c>
      <c r="D18" s="22" t="s">
        <v>44</v>
      </c>
      <c r="E18" s="22" t="s">
        <v>40</v>
      </c>
      <c r="F18" s="23">
        <v>0.29184545468665601</v>
      </c>
      <c r="G18" s="23">
        <v>-1.7767234955796101</v>
      </c>
      <c r="H18" s="23">
        <v>0.32462716234286598</v>
      </c>
      <c r="I18" s="23">
        <v>0.324698088019377</v>
      </c>
      <c r="J18" s="23"/>
      <c r="K18" s="23">
        <v>0.22954606784998699</v>
      </c>
      <c r="L18" s="23">
        <v>0.22959621987680801</v>
      </c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4">
        <v>2</v>
      </c>
      <c r="AI18" s="25">
        <v>23.716990565544499</v>
      </c>
      <c r="AJ18" s="23">
        <v>1.4982502282761001</v>
      </c>
      <c r="AK18" s="23">
        <v>1.0594228963283201</v>
      </c>
      <c r="AL18" s="8"/>
    </row>
    <row r="19" spans="2:38" ht="15" customHeight="1" x14ac:dyDescent="0.25">
      <c r="B19" s="7" t="s">
        <v>52</v>
      </c>
      <c r="C19" s="22" t="s">
        <v>53</v>
      </c>
      <c r="D19" s="22" t="s">
        <v>45</v>
      </c>
      <c r="E19" s="22" t="s">
        <v>40</v>
      </c>
      <c r="F19" s="23">
        <v>0.59077395551145695</v>
      </c>
      <c r="G19" s="23">
        <v>-0.75932186912773603</v>
      </c>
      <c r="H19" s="23">
        <v>1.8193883077842501E-2</v>
      </c>
      <c r="I19" s="23">
        <v>1.9117669131581499E-2</v>
      </c>
      <c r="J19" s="23"/>
      <c r="K19" s="23">
        <v>1.2865018100457599E-2</v>
      </c>
      <c r="L19" s="23">
        <v>1.3518233483422E-2</v>
      </c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4">
        <v>2</v>
      </c>
      <c r="AI19" s="25">
        <v>22.767107118699201</v>
      </c>
      <c r="AJ19" s="23">
        <v>4.1481694551662902E-2</v>
      </c>
      <c r="AK19" s="23">
        <v>2.9331987512589901E-2</v>
      </c>
      <c r="AL19" s="8"/>
    </row>
    <row r="20" spans="2:38" ht="15" customHeight="1" x14ac:dyDescent="0.25">
      <c r="B20" s="9" t="s">
        <v>52</v>
      </c>
      <c r="C20" s="26" t="s">
        <v>53</v>
      </c>
      <c r="D20" s="26" t="s">
        <v>46</v>
      </c>
      <c r="E20" s="26" t="s">
        <v>40</v>
      </c>
      <c r="F20" s="27">
        <v>1.5037782250449301</v>
      </c>
      <c r="G20" s="27">
        <v>0.58859181620447998</v>
      </c>
      <c r="H20" s="27">
        <v>3.0911336319322299E-2</v>
      </c>
      <c r="I20" s="27">
        <v>3.3010596855350897E-2</v>
      </c>
      <c r="J20" s="27"/>
      <c r="K20" s="27">
        <v>2.1857615526930801E-2</v>
      </c>
      <c r="L20" s="27">
        <v>2.3342016887433901E-2</v>
      </c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8">
        <v>2</v>
      </c>
      <c r="AI20" s="29">
        <v>21.508645500214701</v>
      </c>
      <c r="AJ20" s="27">
        <v>2.76876705883498E-2</v>
      </c>
      <c r="AK20" s="27">
        <v>1.9578139628281501E-2</v>
      </c>
    </row>
    <row r="21" spans="2:38" ht="15" customHeight="1" x14ac:dyDescent="0.25">
      <c r="B21" s="9" t="s">
        <v>52</v>
      </c>
      <c r="C21" s="26" t="s">
        <v>53</v>
      </c>
      <c r="D21" s="26" t="s">
        <v>47</v>
      </c>
      <c r="E21" s="26" t="s">
        <v>40</v>
      </c>
      <c r="F21" s="27">
        <v>2.1114987335544502</v>
      </c>
      <c r="G21" s="27">
        <v>1.07826738183244</v>
      </c>
      <c r="H21" s="27">
        <v>8.0240654015111407E-2</v>
      </c>
      <c r="I21" s="27">
        <v>8.5594647294813003E-2</v>
      </c>
      <c r="J21" s="27"/>
      <c r="K21" s="27">
        <v>5.67387105809289E-2</v>
      </c>
      <c r="L21" s="27">
        <v>6.0524555535432997E-2</v>
      </c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8">
        <v>2</v>
      </c>
      <c r="AI21" s="29">
        <v>21.0514664452365</v>
      </c>
      <c r="AJ21" s="27">
        <v>5.11865743455064E-2</v>
      </c>
      <c r="AK21" s="27">
        <v>3.6194373825416903E-2</v>
      </c>
    </row>
    <row r="22" spans="2:38" ht="15" customHeight="1" x14ac:dyDescent="0.25">
      <c r="B22" s="9" t="s">
        <v>52</v>
      </c>
      <c r="C22" s="26" t="s">
        <v>53</v>
      </c>
      <c r="D22" s="26" t="s">
        <v>48</v>
      </c>
      <c r="E22" s="26" t="s">
        <v>40</v>
      </c>
      <c r="F22" s="27">
        <v>2.34281822113434</v>
      </c>
      <c r="G22" s="27">
        <v>1.2282450200816299</v>
      </c>
      <c r="H22" s="27">
        <v>6.5603143483045998E-3</v>
      </c>
      <c r="I22" s="27">
        <v>3.8227418517255897E-2</v>
      </c>
      <c r="J22" s="27"/>
      <c r="K22" s="27">
        <v>4.63884276240158E-3</v>
      </c>
      <c r="L22" s="27">
        <v>2.7030866860807801E-2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8">
        <v>2</v>
      </c>
      <c r="AI22" s="29">
        <v>20.911441825395201</v>
      </c>
      <c r="AJ22" s="27">
        <v>3.7717116882955799E-3</v>
      </c>
      <c r="AK22" s="27">
        <v>2.6670029114743699E-3</v>
      </c>
    </row>
    <row r="23" spans="2:38" ht="15" customHeight="1" x14ac:dyDescent="0.25">
      <c r="B23" s="9" t="s">
        <v>52</v>
      </c>
      <c r="C23" s="26" t="s">
        <v>53</v>
      </c>
      <c r="D23" s="26" t="s">
        <v>49</v>
      </c>
      <c r="E23" s="26" t="s">
        <v>40</v>
      </c>
      <c r="F23" s="27">
        <v>2.89701351556094</v>
      </c>
      <c r="G23" s="27">
        <v>1.53456641529084</v>
      </c>
      <c r="H23" s="27">
        <v>6.6417091630191397E-2</v>
      </c>
      <c r="I23" s="27">
        <v>8.8297762291348503E-2</v>
      </c>
      <c r="J23" s="27"/>
      <c r="K23" s="27">
        <v>4.6963975878396597E-2</v>
      </c>
      <c r="L23" s="27">
        <v>6.2435946479810399E-2</v>
      </c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8">
        <v>2</v>
      </c>
      <c r="AI23" s="29">
        <v>20.625448943961999</v>
      </c>
      <c r="AJ23" s="27">
        <v>3.0880317979996401E-2</v>
      </c>
      <c r="AK23" s="27">
        <v>2.1835682248852399E-2</v>
      </c>
    </row>
    <row r="24" spans="2:38" ht="15" customHeight="1" x14ac:dyDescent="0.25">
      <c r="B24" s="9" t="s">
        <v>52</v>
      </c>
      <c r="C24" s="26" t="s">
        <v>53</v>
      </c>
      <c r="D24" s="26" t="s">
        <v>50</v>
      </c>
      <c r="E24" s="26" t="s">
        <v>40</v>
      </c>
      <c r="F24" s="27">
        <v>0.57166710262417997</v>
      </c>
      <c r="G24" s="27">
        <v>-0.80675282411286098</v>
      </c>
      <c r="H24" s="27">
        <v>1.32046041779271E-2</v>
      </c>
      <c r="I24" s="27">
        <v>1.45187450259983E-2</v>
      </c>
      <c r="J24" s="27"/>
      <c r="K24" s="27">
        <v>9.3370651570964594E-3</v>
      </c>
      <c r="L24" s="27">
        <v>1.02663030622018E-2</v>
      </c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8">
        <v>2</v>
      </c>
      <c r="AI24" s="29">
        <v>22.811390396646701</v>
      </c>
      <c r="AJ24" s="27">
        <v>3.1112479060595999E-2</v>
      </c>
      <c r="AK24" s="27">
        <v>2.1999844923271901E-2</v>
      </c>
    </row>
    <row r="25" spans="2:38" ht="15" customHeight="1" x14ac:dyDescent="0.25">
      <c r="B25" s="9" t="s">
        <v>52</v>
      </c>
      <c r="C25" s="26" t="s">
        <v>53</v>
      </c>
      <c r="D25" s="26" t="s">
        <v>51</v>
      </c>
      <c r="E25" s="26" t="s">
        <v>40</v>
      </c>
      <c r="F25" s="27">
        <v>0.66398470547839805</v>
      </c>
      <c r="G25" s="27">
        <v>-0.590778084617266</v>
      </c>
      <c r="H25" s="27">
        <v>3.2860495505143E-2</v>
      </c>
      <c r="I25" s="27">
        <v>3.3259111627188101E-2</v>
      </c>
      <c r="J25" s="27"/>
      <c r="K25" s="27">
        <v>2.3235879204836701E-2</v>
      </c>
      <c r="L25" s="27">
        <v>2.3517743367825101E-2</v>
      </c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8">
        <v>2</v>
      </c>
      <c r="AI25" s="29">
        <v>22.609748464247801</v>
      </c>
      <c r="AJ25" s="27">
        <v>6.6660484065362097E-2</v>
      </c>
      <c r="AK25" s="27">
        <v>4.7136080319795298E-2</v>
      </c>
    </row>
    <row r="26" spans="2:38" ht="15" customHeight="1" x14ac:dyDescent="0.25">
      <c r="B26" s="9" t="s">
        <v>54</v>
      </c>
      <c r="C26" s="30" t="s">
        <v>55</v>
      </c>
      <c r="D26" s="30" t="s">
        <v>39</v>
      </c>
      <c r="E26" s="30" t="s">
        <v>40</v>
      </c>
      <c r="F26" s="31">
        <v>1.12019158395067</v>
      </c>
      <c r="G26" s="31">
        <v>0.16374549440644001</v>
      </c>
      <c r="H26" s="31">
        <v>0.197498110120637</v>
      </c>
      <c r="I26" s="31">
        <v>0.197502122918183</v>
      </c>
      <c r="J26" s="31"/>
      <c r="K26" s="31">
        <v>0.13965225293783001</v>
      </c>
      <c r="L26" s="31">
        <v>0.139655090414186</v>
      </c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2">
        <v>2</v>
      </c>
      <c r="AI26" s="33">
        <v>19.8260162174359</v>
      </c>
      <c r="AJ26" s="31">
        <v>0.249829098737784</v>
      </c>
      <c r="AK26" s="31">
        <v>0.17665584985520999</v>
      </c>
    </row>
    <row r="27" spans="2:38" ht="15" customHeight="1" x14ac:dyDescent="0.25">
      <c r="B27" s="9" t="s">
        <v>54</v>
      </c>
      <c r="C27" s="30" t="s">
        <v>55</v>
      </c>
      <c r="D27" s="30" t="s">
        <v>41</v>
      </c>
      <c r="E27" s="30" t="s">
        <v>40</v>
      </c>
      <c r="F27" s="31">
        <v>1.4926844671188799</v>
      </c>
      <c r="G27" s="31">
        <v>0.57790923189388399</v>
      </c>
      <c r="H27" s="31">
        <v>6.1407586005975297E-2</v>
      </c>
      <c r="I27" s="31">
        <v>6.16923720213799E-2</v>
      </c>
      <c r="J27" s="31"/>
      <c r="K27" s="31">
        <v>4.3421720481121202E-2</v>
      </c>
      <c r="L27" s="31">
        <v>4.3623094603801003E-2</v>
      </c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2">
        <v>2</v>
      </c>
      <c r="AI27" s="33">
        <v>19.4192265485615</v>
      </c>
      <c r="AJ27" s="31">
        <v>5.8294340603064598E-2</v>
      </c>
      <c r="AK27" s="31">
        <v>4.1220323545225299E-2</v>
      </c>
    </row>
    <row r="28" spans="2:38" ht="15" customHeight="1" x14ac:dyDescent="0.25">
      <c r="B28" s="7" t="s">
        <v>54</v>
      </c>
      <c r="C28" s="34" t="s">
        <v>55</v>
      </c>
      <c r="D28" s="34" t="s">
        <v>42</v>
      </c>
      <c r="E28" s="34" t="s">
        <v>40</v>
      </c>
      <c r="F28" s="35">
        <v>0.672577455065962</v>
      </c>
      <c r="G28" s="35">
        <v>-0.57222767464560997</v>
      </c>
      <c r="H28" s="35">
        <v>9.7025891940061299E-3</v>
      </c>
      <c r="I28" s="35">
        <v>1.00557665081813E-2</v>
      </c>
      <c r="J28" s="35"/>
      <c r="K28" s="35">
        <v>6.8607666141490596E-3</v>
      </c>
      <c r="L28" s="35">
        <v>7.1105006879635304E-3</v>
      </c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6">
        <v>2</v>
      </c>
      <c r="AI28" s="37">
        <v>20.548885591648499</v>
      </c>
      <c r="AJ28" s="35">
        <v>2.0441733439284401E-2</v>
      </c>
      <c r="AK28" s="35">
        <v>1.44544883341258E-2</v>
      </c>
      <c r="AL28" s="8"/>
    </row>
    <row r="29" spans="2:38" ht="15" customHeight="1" x14ac:dyDescent="0.25">
      <c r="B29" s="9" t="s">
        <v>54</v>
      </c>
      <c r="C29" s="30" t="s">
        <v>55</v>
      </c>
      <c r="D29" s="30" t="s">
        <v>43</v>
      </c>
      <c r="E29" s="30" t="s">
        <v>40</v>
      </c>
      <c r="F29" s="31">
        <v>0.73671586834787095</v>
      </c>
      <c r="G29" s="31">
        <v>-0.44081977727940103</v>
      </c>
      <c r="H29" s="31">
        <v>1.7896676700252701E-3</v>
      </c>
      <c r="I29" s="31">
        <v>2.8586042450223599E-3</v>
      </c>
      <c r="J29" s="31"/>
      <c r="K29" s="31">
        <v>1.26548614554519E-3</v>
      </c>
      <c r="L29" s="31">
        <v>2.0213384463839599E-3</v>
      </c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2">
        <v>2</v>
      </c>
      <c r="AI29" s="33">
        <v>20.419817374857299</v>
      </c>
      <c r="AJ29" s="31">
        <v>3.44226856536487E-3</v>
      </c>
      <c r="AK29" s="31">
        <v>2.43405144523479E-3</v>
      </c>
    </row>
    <row r="30" spans="2:38" ht="15" customHeight="1" x14ac:dyDescent="0.25">
      <c r="B30" s="7" t="s">
        <v>54</v>
      </c>
      <c r="C30" s="34" t="s">
        <v>55</v>
      </c>
      <c r="D30" s="34" t="s">
        <v>44</v>
      </c>
      <c r="E30" s="34" t="s">
        <v>40</v>
      </c>
      <c r="F30" s="35">
        <v>0.43170249538614602</v>
      </c>
      <c r="G30" s="35">
        <v>-1.21189066279957</v>
      </c>
      <c r="H30" s="35">
        <v>4.4517706488046503E-2</v>
      </c>
      <c r="I30" s="35">
        <v>4.4662300320270597E-2</v>
      </c>
      <c r="J30" s="35"/>
      <c r="K30" s="35">
        <v>3.1478772140570099E-2</v>
      </c>
      <c r="L30" s="35">
        <v>3.1581015419853399E-2</v>
      </c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6">
        <v>2</v>
      </c>
      <c r="AI30" s="37">
        <v>21.177159560588699</v>
      </c>
      <c r="AJ30" s="35">
        <v>0.14612368144024601</v>
      </c>
      <c r="AK30" s="35">
        <v>0.103325046038341</v>
      </c>
      <c r="AL30" s="8"/>
    </row>
    <row r="31" spans="2:38" ht="15" customHeight="1" x14ac:dyDescent="0.25">
      <c r="B31" s="7" t="s">
        <v>54</v>
      </c>
      <c r="C31" s="34" t="s">
        <v>55</v>
      </c>
      <c r="D31" s="34" t="s">
        <v>45</v>
      </c>
      <c r="E31" s="34" t="s">
        <v>40</v>
      </c>
      <c r="F31" s="35">
        <v>0.56295634452496301</v>
      </c>
      <c r="G31" s="35">
        <v>-0.82890504465874904</v>
      </c>
      <c r="H31" s="35">
        <v>2.39963653630881E-2</v>
      </c>
      <c r="I31" s="35">
        <v>2.4209171110679401E-2</v>
      </c>
      <c r="J31" s="35"/>
      <c r="K31" s="35">
        <v>1.6967992672069599E-2</v>
      </c>
      <c r="L31" s="35">
        <v>1.7118469059266801E-2</v>
      </c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6">
        <v>2</v>
      </c>
      <c r="AI31" s="37">
        <v>20.800992893433602</v>
      </c>
      <c r="AJ31" s="35">
        <v>6.0400861124778597E-2</v>
      </c>
      <c r="AK31" s="35">
        <v>4.2709858490837901E-2</v>
      </c>
      <c r="AL31" s="8"/>
    </row>
    <row r="32" spans="2:38" ht="15" customHeight="1" x14ac:dyDescent="0.25">
      <c r="B32" s="9" t="s">
        <v>54</v>
      </c>
      <c r="C32" s="30" t="s">
        <v>55</v>
      </c>
      <c r="D32" s="30" t="s">
        <v>46</v>
      </c>
      <c r="E32" s="30" t="s">
        <v>40</v>
      </c>
      <c r="F32" s="31">
        <v>0.92777309619223802</v>
      </c>
      <c r="G32" s="31">
        <v>-0.108156083742513</v>
      </c>
      <c r="H32" s="31">
        <v>7.7417597150948201E-3</v>
      </c>
      <c r="I32" s="31">
        <v>7.7723356869965898E-3</v>
      </c>
      <c r="J32" s="31"/>
      <c r="K32" s="31">
        <v>5.4742507928603797E-3</v>
      </c>
      <c r="L32" s="31">
        <v>5.4958712699334899E-3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2">
        <v>2</v>
      </c>
      <c r="AI32" s="33">
        <v>20.093076664621901</v>
      </c>
      <c r="AJ32" s="31">
        <v>1.1824159944011099E-2</v>
      </c>
      <c r="AK32" s="31">
        <v>8.3609436782445794E-3</v>
      </c>
    </row>
    <row r="33" spans="2:38" ht="15" customHeight="1" x14ac:dyDescent="0.25">
      <c r="B33" s="9" t="s">
        <v>54</v>
      </c>
      <c r="C33" s="30" t="s">
        <v>55</v>
      </c>
      <c r="D33" s="30" t="s">
        <v>47</v>
      </c>
      <c r="E33" s="30" t="s">
        <v>40</v>
      </c>
      <c r="F33" s="31">
        <v>1.4251429723164399</v>
      </c>
      <c r="G33" s="31">
        <v>0.51110665970204205</v>
      </c>
      <c r="H33" s="31">
        <v>7.8337398309917192E-3</v>
      </c>
      <c r="I33" s="31">
        <v>9.2931665699272897E-3</v>
      </c>
      <c r="J33" s="31"/>
      <c r="K33" s="31">
        <v>5.5392905565453997E-3</v>
      </c>
      <c r="L33" s="31">
        <v>6.5712611002917204E-3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2">
        <v>2</v>
      </c>
      <c r="AI33" s="33">
        <v>19.484839719783899</v>
      </c>
      <c r="AJ33" s="31">
        <v>7.7890248774682503E-3</v>
      </c>
      <c r="AK33" s="31">
        <v>5.5076723096885204E-3</v>
      </c>
    </row>
    <row r="34" spans="2:38" ht="15" customHeight="1" x14ac:dyDescent="0.25">
      <c r="B34" s="9" t="s">
        <v>54</v>
      </c>
      <c r="C34" s="30" t="s">
        <v>55</v>
      </c>
      <c r="D34" s="30" t="s">
        <v>48</v>
      </c>
      <c r="E34" s="30" t="s">
        <v>40</v>
      </c>
      <c r="F34" s="31">
        <v>1.2662627146738801</v>
      </c>
      <c r="G34" s="31">
        <v>0.34057675534811799</v>
      </c>
      <c r="H34" s="31">
        <v>5.2769935614046699E-2</v>
      </c>
      <c r="I34" s="31">
        <v>5.28528903404408E-2</v>
      </c>
      <c r="J34" s="31"/>
      <c r="K34" s="31">
        <v>3.7313979315469897E-2</v>
      </c>
      <c r="L34" s="31">
        <v>3.7372637165034701E-2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2">
        <v>2</v>
      </c>
      <c r="AI34" s="33">
        <v>19.652333387254998</v>
      </c>
      <c r="AJ34" s="31">
        <v>5.9052070238095E-2</v>
      </c>
      <c r="AK34" s="31">
        <v>4.1756119308461202E-2</v>
      </c>
    </row>
    <row r="35" spans="2:38" ht="15" customHeight="1" x14ac:dyDescent="0.25">
      <c r="B35" s="9" t="s">
        <v>54</v>
      </c>
      <c r="C35" s="30" t="s">
        <v>55</v>
      </c>
      <c r="D35" s="30" t="s">
        <v>49</v>
      </c>
      <c r="E35" s="30" t="s">
        <v>40</v>
      </c>
      <c r="F35" s="31">
        <v>1.09803399552555</v>
      </c>
      <c r="G35" s="31">
        <v>0.13492272138946301</v>
      </c>
      <c r="H35" s="31">
        <v>5.7279690609310402E-2</v>
      </c>
      <c r="I35" s="31">
        <v>5.7288715836791397E-2</v>
      </c>
      <c r="J35" s="31"/>
      <c r="K35" s="31">
        <v>4.0502857654110803E-2</v>
      </c>
      <c r="L35" s="31">
        <v>4.05092394536644E-2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2">
        <v>2</v>
      </c>
      <c r="AI35" s="33">
        <v>19.854325809102999</v>
      </c>
      <c r="AJ35" s="31">
        <v>7.3919200304220001E-2</v>
      </c>
      <c r="AK35" s="31">
        <v>5.2268767795000698E-2</v>
      </c>
    </row>
    <row r="36" spans="2:38" ht="15" customHeight="1" x14ac:dyDescent="0.25">
      <c r="B36" s="9" t="s">
        <v>54</v>
      </c>
      <c r="C36" s="30" t="s">
        <v>55</v>
      </c>
      <c r="D36" s="30" t="s">
        <v>50</v>
      </c>
      <c r="E36" s="30" t="s">
        <v>40</v>
      </c>
      <c r="F36" s="31">
        <v>0.74455394798403896</v>
      </c>
      <c r="G36" s="31">
        <v>-0.42555170925084301</v>
      </c>
      <c r="H36" s="31">
        <v>3.5811622249811298E-2</v>
      </c>
      <c r="I36" s="31">
        <v>3.5877594979547803E-2</v>
      </c>
      <c r="J36" s="31"/>
      <c r="K36" s="31">
        <v>2.53226409381326E-2</v>
      </c>
      <c r="L36" s="31">
        <v>2.5369290702702701E-2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2">
        <v>2</v>
      </c>
      <c r="AI36" s="33">
        <v>20.4048211504767</v>
      </c>
      <c r="AJ36" s="31">
        <v>6.8155389884366702E-2</v>
      </c>
      <c r="AK36" s="31">
        <v>4.8193138361648701E-2</v>
      </c>
    </row>
    <row r="37" spans="2:38" ht="15" customHeight="1" x14ac:dyDescent="0.25">
      <c r="B37" s="9" t="s">
        <v>54</v>
      </c>
      <c r="C37" s="30" t="s">
        <v>55</v>
      </c>
      <c r="D37" s="30" t="s">
        <v>51</v>
      </c>
      <c r="E37" s="30" t="s">
        <v>40</v>
      </c>
      <c r="F37" s="31">
        <v>1.03224555706112</v>
      </c>
      <c r="G37" s="31">
        <v>4.5786208952764397E-2</v>
      </c>
      <c r="H37" s="31">
        <v>0.11185228635224</v>
      </c>
      <c r="I37" s="31">
        <v>0.111852756766972</v>
      </c>
      <c r="J37" s="31"/>
      <c r="K37" s="31">
        <v>7.9091510170888502E-2</v>
      </c>
      <c r="L37" s="31">
        <v>7.9091842804335497E-2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2">
        <v>2</v>
      </c>
      <c r="AI37" s="33">
        <v>19.9418752710591</v>
      </c>
      <c r="AJ37" s="31">
        <v>0.15354448642134699</v>
      </c>
      <c r="AK37" s="31">
        <v>0.10857234756233999</v>
      </c>
    </row>
    <row r="38" spans="2:38" ht="15" customHeight="1" x14ac:dyDescent="0.25">
      <c r="B38" s="9" t="s">
        <v>56</v>
      </c>
      <c r="C38" s="38" t="s">
        <v>57</v>
      </c>
      <c r="D38" s="38" t="s">
        <v>39</v>
      </c>
      <c r="E38" s="38" t="s">
        <v>40</v>
      </c>
      <c r="F38" s="39">
        <v>25.763035315538499</v>
      </c>
      <c r="G38" s="39">
        <v>4.6872306719075603</v>
      </c>
      <c r="H38" s="39">
        <v>0.15131399733043899</v>
      </c>
      <c r="I38" s="39">
        <v>3.22303851867738</v>
      </c>
      <c r="J38" s="39"/>
      <c r="K38" s="39">
        <v>0.106995153600797</v>
      </c>
      <c r="L38" s="39">
        <v>2.27903239258222</v>
      </c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40">
        <v>2</v>
      </c>
      <c r="AI38" s="41">
        <v>26.544190221623602</v>
      </c>
      <c r="AJ38" s="39">
        <v>8.5017392916880707E-3</v>
      </c>
      <c r="AK38" s="39">
        <v>6.0116375050327502E-3</v>
      </c>
    </row>
    <row r="39" spans="2:38" ht="15" customHeight="1" x14ac:dyDescent="0.25">
      <c r="B39" s="9" t="s">
        <v>56</v>
      </c>
      <c r="C39" s="38" t="s">
        <v>57</v>
      </c>
      <c r="D39" s="38" t="s">
        <v>41</v>
      </c>
      <c r="E39" s="38" t="s">
        <v>40</v>
      </c>
      <c r="F39" s="39">
        <v>50.788305046190203</v>
      </c>
      <c r="G39" s="39">
        <v>5.66642442270585</v>
      </c>
      <c r="H39" s="39">
        <v>0.46564437101575201</v>
      </c>
      <c r="I39" s="39">
        <v>7.6867743885462501</v>
      </c>
      <c r="J39" s="39"/>
      <c r="K39" s="39">
        <v>0.329260292366583</v>
      </c>
      <c r="L39" s="39">
        <v>5.4353702955921301</v>
      </c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40">
        <v>2</v>
      </c>
      <c r="AI39" s="41">
        <v>25.5617190819573</v>
      </c>
      <c r="AJ39" s="39">
        <v>1.32713879734952E-2</v>
      </c>
      <c r="AK39" s="39">
        <v>9.3842884318160406E-3</v>
      </c>
    </row>
    <row r="40" spans="2:38" ht="15" customHeight="1" x14ac:dyDescent="0.25">
      <c r="B40" s="9" t="s">
        <v>56</v>
      </c>
      <c r="C40" s="38" t="s">
        <v>57</v>
      </c>
      <c r="D40" s="38" t="s">
        <v>42</v>
      </c>
      <c r="E40" s="38" t="s">
        <v>40</v>
      </c>
      <c r="F40" s="39">
        <v>3.16828140462983</v>
      </c>
      <c r="G40" s="39">
        <v>1.6637004803145901</v>
      </c>
      <c r="H40" s="39">
        <v>0.119441252870975</v>
      </c>
      <c r="I40" s="39">
        <v>0.184431972935336</v>
      </c>
      <c r="J40" s="39"/>
      <c r="K40" s="39">
        <v>8.4457719858483493E-2</v>
      </c>
      <c r="L40" s="39">
        <v>0.13041309873019</v>
      </c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40">
        <v>2</v>
      </c>
      <c r="AI40" s="41">
        <v>29.5778402533237</v>
      </c>
      <c r="AJ40" s="39">
        <v>5.4570295989074299E-2</v>
      </c>
      <c r="AK40" s="39">
        <v>3.85870263452315E-2</v>
      </c>
    </row>
    <row r="41" spans="2:38" ht="15" customHeight="1" x14ac:dyDescent="0.25">
      <c r="B41" s="9" t="s">
        <v>56</v>
      </c>
      <c r="C41" s="38" t="s">
        <v>57</v>
      </c>
      <c r="D41" s="38" t="s">
        <v>43</v>
      </c>
      <c r="E41" s="38" t="s">
        <v>40</v>
      </c>
      <c r="F41" s="39">
        <v>2.9395048844520302</v>
      </c>
      <c r="G41" s="39">
        <v>1.55557317516403</v>
      </c>
      <c r="H41" s="39">
        <v>9.5465444759195606E-2</v>
      </c>
      <c r="I41" s="39">
        <v>0.15484050845250699</v>
      </c>
      <c r="J41" s="39"/>
      <c r="K41" s="39">
        <v>6.7504263358217007E-2</v>
      </c>
      <c r="L41" s="39">
        <v>0.10948877352914101</v>
      </c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40">
        <v>2</v>
      </c>
      <c r="AI41" s="41">
        <v>29.6863294635885</v>
      </c>
      <c r="AJ41" s="39">
        <v>4.7010808634773901E-2</v>
      </c>
      <c r="AK41" s="39">
        <v>3.3241661574711798E-2</v>
      </c>
    </row>
    <row r="42" spans="2:38" ht="15" customHeight="1" x14ac:dyDescent="0.25">
      <c r="B42" s="7" t="s">
        <v>56</v>
      </c>
      <c r="C42" s="42" t="s">
        <v>57</v>
      </c>
      <c r="D42" s="42" t="s">
        <v>44</v>
      </c>
      <c r="E42" s="42" t="s">
        <v>40</v>
      </c>
      <c r="F42" s="43">
        <v>2.6818250889954598</v>
      </c>
      <c r="G42" s="43">
        <v>1.42321514646398</v>
      </c>
      <c r="H42" s="43">
        <v>0.17034121788919701</v>
      </c>
      <c r="I42" s="43">
        <v>0.19842147255411799</v>
      </c>
      <c r="J42" s="43"/>
      <c r="K42" s="43">
        <v>0.120449430285026</v>
      </c>
      <c r="L42" s="43">
        <v>0.14030516877603799</v>
      </c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4">
        <v>2</v>
      </c>
      <c r="AI42" s="45">
        <v>29.819130498312202</v>
      </c>
      <c r="AJ42" s="43">
        <v>9.1942224301800199E-2</v>
      </c>
      <c r="AK42" s="43">
        <v>6.5012970281177501E-2</v>
      </c>
      <c r="AL42" s="8"/>
    </row>
    <row r="43" spans="2:38" ht="15" customHeight="1" x14ac:dyDescent="0.25">
      <c r="B43" s="9" t="s">
        <v>56</v>
      </c>
      <c r="C43" s="38" t="s">
        <v>57</v>
      </c>
      <c r="D43" s="38" t="s">
        <v>45</v>
      </c>
      <c r="E43" s="38" t="s">
        <v>40</v>
      </c>
      <c r="F43" s="39">
        <v>4.1917362199075798</v>
      </c>
      <c r="G43" s="39">
        <v>2.0675479329524502</v>
      </c>
      <c r="H43" s="39">
        <v>1.7356464474355099E-2</v>
      </c>
      <c r="I43" s="39">
        <v>0.23170977752663699</v>
      </c>
      <c r="J43" s="39"/>
      <c r="K43" s="39">
        <v>1.22728737272399E-2</v>
      </c>
      <c r="L43" s="39">
        <v>0.163843554956311</v>
      </c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40">
        <v>2</v>
      </c>
      <c r="AI43" s="41">
        <v>29.172641111967899</v>
      </c>
      <c r="AJ43" s="39">
        <v>5.9936727341559403E-3</v>
      </c>
      <c r="AK43" s="39">
        <v>4.2381666345345801E-3</v>
      </c>
    </row>
    <row r="44" spans="2:38" ht="15" customHeight="1" x14ac:dyDescent="0.25">
      <c r="B44" s="9" t="s">
        <v>56</v>
      </c>
      <c r="C44" s="38" t="s">
        <v>57</v>
      </c>
      <c r="D44" s="38" t="s">
        <v>46</v>
      </c>
      <c r="E44" s="38" t="s">
        <v>40</v>
      </c>
      <c r="F44" s="39">
        <v>8.6534998488925E-2</v>
      </c>
      <c r="G44" s="39">
        <v>-3.53057245084696</v>
      </c>
      <c r="H44" s="39">
        <v>6.0474694340106598E-2</v>
      </c>
      <c r="I44" s="39">
        <v>6.1020778708277698E-2</v>
      </c>
      <c r="J44" s="39"/>
      <c r="K44" s="39">
        <v>4.2762066458073102E-2</v>
      </c>
      <c r="L44" s="39">
        <v>4.3148206417906898E-2</v>
      </c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40">
        <v>2</v>
      </c>
      <c r="AI44" s="41">
        <v>34.789498561248699</v>
      </c>
      <c r="AJ44" s="39">
        <v>1.0115971545281599</v>
      </c>
      <c r="AK44" s="39">
        <v>0.71530720779587698</v>
      </c>
    </row>
    <row r="45" spans="2:38" ht="15" customHeight="1" x14ac:dyDescent="0.25">
      <c r="B45" s="9" t="s">
        <v>56</v>
      </c>
      <c r="C45" s="38" t="s">
        <v>57</v>
      </c>
      <c r="D45" s="38" t="s">
        <v>47</v>
      </c>
      <c r="E45" s="38" t="s">
        <v>40</v>
      </c>
      <c r="F45" s="39">
        <v>7.7312511232644404E-2</v>
      </c>
      <c r="G45" s="39">
        <v>-3.6931542900782199</v>
      </c>
      <c r="H45" s="39">
        <v>3.98908085877068E-2</v>
      </c>
      <c r="I45" s="39">
        <v>4.0610649820141197E-2</v>
      </c>
      <c r="J45" s="39"/>
      <c r="K45" s="39">
        <v>2.8207061259382001E-2</v>
      </c>
      <c r="L45" s="39">
        <v>2.87160658762141E-2</v>
      </c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40">
        <v>2</v>
      </c>
      <c r="AI45" s="41">
        <v>34.952624566442601</v>
      </c>
      <c r="AJ45" s="39">
        <v>0.74687645213975395</v>
      </c>
      <c r="AK45" s="39">
        <v>0.52812140401657004</v>
      </c>
    </row>
    <row r="46" spans="2:38" ht="15" customHeight="1" x14ac:dyDescent="0.25">
      <c r="B46" s="9" t="s">
        <v>56</v>
      </c>
      <c r="C46" s="38" t="s">
        <v>57</v>
      </c>
      <c r="D46" s="38" t="s">
        <v>48</v>
      </c>
      <c r="E46" s="38" t="s">
        <v>40</v>
      </c>
      <c r="F46" s="39">
        <v>6.2694577668209295E-2</v>
      </c>
      <c r="G46" s="39">
        <v>-3.9955155172332599</v>
      </c>
      <c r="H46" s="39">
        <v>1.51873368871412E-2</v>
      </c>
      <c r="I46" s="39">
        <v>1.6590868633730001E-2</v>
      </c>
      <c r="J46" s="39"/>
      <c r="K46" s="39">
        <v>1.0739068901062101E-2</v>
      </c>
      <c r="L46" s="39">
        <v>1.17315157166857E-2</v>
      </c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40">
        <v>2</v>
      </c>
      <c r="AI46" s="41">
        <v>35.255997805080803</v>
      </c>
      <c r="AJ46" s="39">
        <v>0.35065283378567103</v>
      </c>
      <c r="AK46" s="39">
        <v>0.24794899661212699</v>
      </c>
    </row>
    <row r="47" spans="2:38" ht="15" customHeight="1" x14ac:dyDescent="0.25">
      <c r="B47" s="9" t="s">
        <v>56</v>
      </c>
      <c r="C47" s="38" t="s">
        <v>57</v>
      </c>
      <c r="D47" s="38" t="s">
        <v>49</v>
      </c>
      <c r="E47" s="38" t="s">
        <v>40</v>
      </c>
      <c r="F47" s="39">
        <v>0.241557185974939</v>
      </c>
      <c r="G47" s="39">
        <v>-2.04956332339991</v>
      </c>
      <c r="H47" s="39">
        <v>0.100315374534116</v>
      </c>
      <c r="I47" s="39">
        <v>0.101180030737982</v>
      </c>
      <c r="J47" s="39"/>
      <c r="K47" s="39">
        <v>7.0933681590341802E-2</v>
      </c>
      <c r="L47" s="39">
        <v>7.1545085855490603E-2</v>
      </c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40">
        <v>2</v>
      </c>
      <c r="AI47" s="41">
        <v>33.303532454834198</v>
      </c>
      <c r="AJ47" s="39">
        <v>0.60113670270610498</v>
      </c>
      <c r="AK47" s="39">
        <v>0.425067838903608</v>
      </c>
    </row>
    <row r="48" spans="2:38" ht="15" customHeight="1" x14ac:dyDescent="0.25">
      <c r="B48" s="9" t="s">
        <v>56</v>
      </c>
      <c r="C48" s="38" t="s">
        <v>57</v>
      </c>
      <c r="D48" s="38" t="s">
        <v>50</v>
      </c>
      <c r="E48" s="38" t="s">
        <v>40</v>
      </c>
      <c r="F48" s="39">
        <v>9.0152380908586294E-2</v>
      </c>
      <c r="G48" s="39">
        <v>-3.4714905962906801</v>
      </c>
      <c r="H48" s="39">
        <v>2.6678854854060201E-3</v>
      </c>
      <c r="I48" s="39">
        <v>8.7599858556429398E-3</v>
      </c>
      <c r="J48" s="39"/>
      <c r="K48" s="39">
        <v>1.88647991815976E-3</v>
      </c>
      <c r="L48" s="39">
        <v>6.1942454016233597E-3</v>
      </c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40">
        <v>2</v>
      </c>
      <c r="AI48" s="41">
        <v>34.730218958072903</v>
      </c>
      <c r="AJ48" s="39">
        <v>4.2836668844707403E-2</v>
      </c>
      <c r="AK48" s="39">
        <v>3.0290099023535098E-2</v>
      </c>
    </row>
    <row r="49" spans="2:37" ht="15" customHeight="1" x14ac:dyDescent="0.25">
      <c r="B49" s="9" t="s">
        <v>56</v>
      </c>
      <c r="C49" s="38" t="s">
        <v>57</v>
      </c>
      <c r="D49" s="38" t="s">
        <v>51</v>
      </c>
      <c r="E49" s="38" t="s">
        <v>40</v>
      </c>
      <c r="F49" s="39">
        <v>8.5565443836585001E-2</v>
      </c>
      <c r="G49" s="39">
        <v>-3.5468279173442001</v>
      </c>
      <c r="H49" s="39">
        <v>1.0386280492081099E-2</v>
      </c>
      <c r="I49" s="39">
        <v>1.31659376888217E-2</v>
      </c>
      <c r="J49" s="39"/>
      <c r="K49" s="39">
        <v>7.3442093672561101E-3</v>
      </c>
      <c r="L49" s="39">
        <v>9.3097238204453894E-3</v>
      </c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40">
        <v>2</v>
      </c>
      <c r="AI49" s="41">
        <v>34.805808435246902</v>
      </c>
      <c r="AJ49" s="39">
        <v>0.17570630548841601</v>
      </c>
      <c r="AK49" s="39">
        <v>0.124243120108094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 Meeus</cp:lastModifiedBy>
  <dcterms:modified xsi:type="dcterms:W3CDTF">2025-10-15T14:38:36Z</dcterms:modified>
</cp:coreProperties>
</file>