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BW-0173_Transport ATPase group\0035_Emily_Meeus_u0171728\qPCR\13062025_fullpaneln2\"/>
    </mc:Choice>
  </mc:AlternateContent>
  <xr:revisionPtr revIDLastSave="0" documentId="13_ncr:1_{E605ACE9-AE94-44B7-97CC-904221DF2C8E}" xr6:coauthVersionLast="47" xr6:coauthVersionMax="47" xr10:uidLastSave="{00000000-0000-0000-0000-000000000000}"/>
  <bookViews>
    <workbookView xWindow="720" yWindow="960" windowWidth="14130" windowHeight="12530" xr2:uid="{52271A0C-D689-4F77-AD01-C9F2627AE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14" i="1"/>
  <c r="G10" i="1"/>
  <c r="G9" i="1"/>
  <c r="G11" i="1"/>
  <c r="G12" i="1"/>
  <c r="G13" i="1"/>
  <c r="G8" i="1"/>
  <c r="G3" i="1"/>
  <c r="G4" i="1"/>
  <c r="G5" i="1"/>
  <c r="G6" i="1"/>
  <c r="G7" i="1"/>
  <c r="G2" i="1"/>
  <c r="E2" i="1"/>
  <c r="E15" i="1"/>
  <c r="E16" i="1"/>
  <c r="E17" i="1"/>
  <c r="E18" i="1"/>
  <c r="E19" i="1"/>
  <c r="E14" i="1"/>
  <c r="E8" i="1"/>
  <c r="E12" i="1"/>
  <c r="E13" i="1"/>
  <c r="E9" i="1"/>
  <c r="E10" i="1"/>
  <c r="E11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<sst xmlns="http://schemas.openxmlformats.org/spreadsheetml/2006/main" count="53" uniqueCount="15">
  <si>
    <t>Target</t>
  </si>
  <si>
    <t>hATP13A2</t>
  </si>
  <si>
    <t>hATP13A3</t>
  </si>
  <si>
    <t>hATP13A4</t>
  </si>
  <si>
    <t>hGAPDH</t>
  </si>
  <si>
    <t>Sample</t>
  </si>
  <si>
    <t>bt474</t>
  </si>
  <si>
    <t>mcf10</t>
  </si>
  <si>
    <t>mcf7</t>
  </si>
  <si>
    <t>mdamb231</t>
  </si>
  <si>
    <t>mdamb453</t>
  </si>
  <si>
    <t>sum149pt</t>
  </si>
  <si>
    <t>Relative Quantity</t>
  </si>
  <si>
    <t>normalized to gaphd</t>
  </si>
  <si>
    <t>relative to mcf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</si>
</sst>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52BA-7133-4330-A1EB-1947EEBD1AFB}">
  <dimension ref="A1:G25"/>
  <sheetViews>
    <sheetView tabSelected="1" workbookViewId="0">
      <selection activeCell="H18" sqref="H18"/>
    </sheetView>
  </sheetViews>
  <sheetFormatPr defaultRowHeight="14.5" x14ac:dyDescent="0.35"/>
  <cols>
    <col min="1" max="1" width="12.453125" customWidth="1"/>
    <col min="2" max="2" width="9.81640625" customWidth="1"/>
    <col min="3" max="3" width="16.453125" customWidth="1"/>
    <col min="5" max="5" width="17.7265625" customWidth="1"/>
    <col min="7" max="7" width="15.54296875" customWidth="1"/>
  </cols>
  <sheetData>
    <row r="1" spans="1:7" x14ac:dyDescent="0.35">
      <c r="A1" s="5" t="s">
        <v>0</v>
      </c>
      <c r="B1" s="5" t="s">
        <v>5</v>
      </c>
      <c r="C1" s="5" t="s">
        <v>12</v>
      </c>
      <c r="E1" s="5" t="s">
        <v>13</v>
      </c>
      <c r="G1" s="5" t="s">
        <v>14</v>
      </c>
    </row>
    <row r="2" spans="1:7" x14ac:dyDescent="0.35">
      <c r="A2" s="1" t="s">
        <v>1</v>
      </c>
      <c r="B2" t="s">
        <v>6</v>
      </c>
      <c r="C2">
        <v>0.12659000000000001</v>
      </c>
      <c r="E2">
        <f>C2/C20</f>
        <v>0.37458203876313068</v>
      </c>
      <c r="G2">
        <f>E2/$E$3</f>
        <v>0.16693569314062023</v>
      </c>
    </row>
    <row r="3" spans="1:7" x14ac:dyDescent="0.35">
      <c r="A3" s="1" t="s">
        <v>1</v>
      </c>
      <c r="B3" t="s">
        <v>7</v>
      </c>
      <c r="C3">
        <v>0.66349000000000002</v>
      </c>
      <c r="E3">
        <f t="shared" ref="E3:E7" si="0">C3/C21</f>
        <v>2.2438702695390442</v>
      </c>
      <c r="G3">
        <f t="shared" ref="G3:G7" si="1">E3/$E$3</f>
        <v>1</v>
      </c>
    </row>
    <row r="4" spans="1:7" x14ac:dyDescent="0.35">
      <c r="A4" s="1" t="s">
        <v>1</v>
      </c>
      <c r="B4" t="s">
        <v>8</v>
      </c>
      <c r="C4">
        <v>0.47488999999999998</v>
      </c>
      <c r="E4">
        <f t="shared" si="0"/>
        <v>1.0747035394224675</v>
      </c>
      <c r="G4">
        <f t="shared" si="1"/>
        <v>0.47895083508693337</v>
      </c>
    </row>
    <row r="5" spans="1:7" x14ac:dyDescent="0.35">
      <c r="A5" s="1" t="s">
        <v>1</v>
      </c>
      <c r="B5" t="s">
        <v>9</v>
      </c>
      <c r="C5" s="4">
        <v>1</v>
      </c>
      <c r="E5">
        <f t="shared" si="0"/>
        <v>1.7617420104999824</v>
      </c>
      <c r="G5">
        <f t="shared" si="1"/>
        <v>0.78513541286943256</v>
      </c>
    </row>
    <row r="6" spans="1:7" x14ac:dyDescent="0.35">
      <c r="A6" s="1" t="s">
        <v>1</v>
      </c>
      <c r="B6" t="s">
        <v>10</v>
      </c>
      <c r="C6">
        <v>0.78168000000000004</v>
      </c>
      <c r="E6">
        <f t="shared" si="0"/>
        <v>2.8646608275002752</v>
      </c>
      <c r="G6">
        <f t="shared" si="1"/>
        <v>1.2766606280178396</v>
      </c>
    </row>
    <row r="7" spans="1:7" x14ac:dyDescent="0.35">
      <c r="A7" s="1" t="s">
        <v>1</v>
      </c>
      <c r="B7" t="s">
        <v>11</v>
      </c>
      <c r="C7">
        <v>0.29155999999999999</v>
      </c>
      <c r="E7">
        <f t="shared" si="0"/>
        <v>0.29155999999999999</v>
      </c>
      <c r="G7">
        <f t="shared" si="1"/>
        <v>0.1299362106437173</v>
      </c>
    </row>
    <row r="8" spans="1:7" x14ac:dyDescent="0.35">
      <c r="A8" s="2" t="s">
        <v>2</v>
      </c>
      <c r="B8" t="s">
        <v>6</v>
      </c>
      <c r="C8">
        <v>0.95830000000000004</v>
      </c>
      <c r="E8">
        <f>C8/C20</f>
        <v>2.8356265719781035</v>
      </c>
      <c r="G8">
        <f>E8/$E$9</f>
        <v>2.387093013717311</v>
      </c>
    </row>
    <row r="9" spans="1:7" x14ac:dyDescent="0.35">
      <c r="A9" s="2" t="s">
        <v>2</v>
      </c>
      <c r="B9" t="s">
        <v>7</v>
      </c>
      <c r="C9">
        <v>0.35125000000000001</v>
      </c>
      <c r="E9">
        <f t="shared" ref="E9:E11" si="2">C9/C21</f>
        <v>1.1878994893300416</v>
      </c>
      <c r="G9">
        <f t="shared" ref="G9:G13" si="3">E9/$E$9</f>
        <v>1</v>
      </c>
    </row>
    <row r="10" spans="1:7" x14ac:dyDescent="0.35">
      <c r="A10" s="2" t="s">
        <v>2</v>
      </c>
      <c r="B10" t="s">
        <v>8</v>
      </c>
      <c r="C10">
        <v>0.44713999999999998</v>
      </c>
      <c r="E10">
        <f t="shared" si="2"/>
        <v>1.0119036842581697</v>
      </c>
      <c r="G10">
        <f>E10/$E$9</f>
        <v>0.85184284810903399</v>
      </c>
    </row>
    <row r="11" spans="1:7" x14ac:dyDescent="0.35">
      <c r="A11" s="2" t="s">
        <v>2</v>
      </c>
      <c r="B11" t="s">
        <v>9</v>
      </c>
      <c r="C11" s="4">
        <v>1</v>
      </c>
      <c r="E11">
        <f t="shared" si="2"/>
        <v>1.7617420104999824</v>
      </c>
      <c r="G11">
        <f t="shared" si="3"/>
        <v>1.4830732956149175</v>
      </c>
    </row>
    <row r="12" spans="1:7" x14ac:dyDescent="0.35">
      <c r="A12" s="2" t="s">
        <v>2</v>
      </c>
      <c r="B12" t="s">
        <v>10</v>
      </c>
      <c r="C12">
        <v>0.71560000000000001</v>
      </c>
      <c r="E12">
        <f>C12/C24</f>
        <v>2.6224942280206691</v>
      </c>
      <c r="G12">
        <f t="shared" si="3"/>
        <v>2.2076735040097697</v>
      </c>
    </row>
    <row r="13" spans="1:7" x14ac:dyDescent="0.35">
      <c r="A13" s="2" t="s">
        <v>2</v>
      </c>
      <c r="B13" t="s">
        <v>11</v>
      </c>
      <c r="C13">
        <v>0.83238999999999996</v>
      </c>
      <c r="E13">
        <f>C13/C25</f>
        <v>0.83238999999999996</v>
      </c>
      <c r="G13">
        <f t="shared" si="3"/>
        <v>0.7007242679003558</v>
      </c>
    </row>
    <row r="14" spans="1:7" x14ac:dyDescent="0.35">
      <c r="A14" s="3" t="s">
        <v>3</v>
      </c>
      <c r="B14" t="s">
        <v>6</v>
      </c>
      <c r="C14" s="4">
        <v>1</v>
      </c>
      <c r="E14">
        <f>C14/C20</f>
        <v>2.9590176061547568</v>
      </c>
      <c r="G14">
        <f>E14/$E$15</f>
        <v>48.420139234305481</v>
      </c>
    </row>
    <row r="15" spans="1:7" x14ac:dyDescent="0.35">
      <c r="A15" s="3" t="s">
        <v>3</v>
      </c>
      <c r="B15" t="s">
        <v>7</v>
      </c>
      <c r="C15">
        <v>1.8069999999999999E-2</v>
      </c>
      <c r="E15">
        <f t="shared" ref="E15:E19" si="4">C15/C21</f>
        <v>6.1111298995569684E-2</v>
      </c>
      <c r="G15">
        <f t="shared" ref="G15:G19" si="5">E15/$E$15</f>
        <v>1</v>
      </c>
    </row>
    <row r="16" spans="1:7" x14ac:dyDescent="0.35">
      <c r="A16" s="3" t="s">
        <v>3</v>
      </c>
      <c r="B16" t="s">
        <v>8</v>
      </c>
      <c r="C16">
        <v>0.10584</v>
      </c>
      <c r="E16">
        <f t="shared" si="4"/>
        <v>0.23952204218339823</v>
      </c>
      <c r="G16">
        <f t="shared" si="5"/>
        <v>3.9194395491537923</v>
      </c>
    </row>
    <row r="17" spans="1:7" x14ac:dyDescent="0.35">
      <c r="A17" s="3" t="s">
        <v>3</v>
      </c>
      <c r="B17" t="s">
        <v>9</v>
      </c>
      <c r="C17">
        <v>1.65E-3</v>
      </c>
      <c r="E17">
        <f t="shared" si="4"/>
        <v>2.9068743173249708E-3</v>
      </c>
      <c r="G17">
        <f t="shared" si="5"/>
        <v>4.7566888040388527E-2</v>
      </c>
    </row>
    <row r="18" spans="1:7" x14ac:dyDescent="0.35">
      <c r="A18" s="3" t="s">
        <v>3</v>
      </c>
      <c r="B18" t="s">
        <v>10</v>
      </c>
      <c r="C18">
        <v>1.8500000000000001E-3</v>
      </c>
      <c r="E18">
        <f t="shared" si="4"/>
        <v>6.7797852457214059E-3</v>
      </c>
      <c r="G18">
        <f t="shared" si="5"/>
        <v>0.11094159929758508</v>
      </c>
    </row>
    <row r="19" spans="1:7" x14ac:dyDescent="0.35">
      <c r="A19" s="3" t="s">
        <v>3</v>
      </c>
      <c r="B19" t="s">
        <v>11</v>
      </c>
      <c r="C19">
        <v>2.9299999999999999E-3</v>
      </c>
      <c r="E19">
        <f t="shared" si="4"/>
        <v>2.9299999999999999E-3</v>
      </c>
      <c r="G19">
        <f t="shared" si="5"/>
        <v>4.7945307138904263E-2</v>
      </c>
    </row>
    <row r="20" spans="1:7" x14ac:dyDescent="0.35">
      <c r="A20" t="s">
        <v>4</v>
      </c>
      <c r="B20" t="s">
        <v>6</v>
      </c>
      <c r="C20">
        <v>0.33794999999999997</v>
      </c>
    </row>
    <row r="21" spans="1:7" x14ac:dyDescent="0.35">
      <c r="A21" t="s">
        <v>4</v>
      </c>
      <c r="B21" t="s">
        <v>7</v>
      </c>
      <c r="C21">
        <v>0.29569000000000001</v>
      </c>
    </row>
    <row r="22" spans="1:7" x14ac:dyDescent="0.35">
      <c r="A22" t="s">
        <v>4</v>
      </c>
      <c r="B22" t="s">
        <v>8</v>
      </c>
      <c r="C22">
        <v>0.44188</v>
      </c>
    </row>
    <row r="23" spans="1:7" x14ac:dyDescent="0.35">
      <c r="A23" t="s">
        <v>4</v>
      </c>
      <c r="B23" t="s">
        <v>9</v>
      </c>
      <c r="C23">
        <v>0.56762000000000001</v>
      </c>
    </row>
    <row r="24" spans="1:7" x14ac:dyDescent="0.35">
      <c r="A24" t="s">
        <v>4</v>
      </c>
      <c r="B24" t="s">
        <v>10</v>
      </c>
      <c r="C24">
        <v>0.27287</v>
      </c>
    </row>
    <row r="25" spans="1:7" x14ac:dyDescent="0.35">
      <c r="A25" t="s">
        <v>4</v>
      </c>
      <c r="B25" t="s">
        <v>11</v>
      </c>
      <c r="C2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2025-06-10T13:50:54Z</dcterms:created>
  <dcterms:modified xsi:type="dcterms:W3CDTF">2026-01-31T12:29:55Z</dcterms:modified>
</cp:coreProperties>
</file>