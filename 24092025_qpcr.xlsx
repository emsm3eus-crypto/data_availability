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BW-0173_Transport ATPase group\0035_Emily_Meeus_u0171728\qPCR\01102025_CTRLDFMOn3_bt474STD\"/>
    </mc:Choice>
  </mc:AlternateContent>
  <xr:revisionPtr revIDLastSave="0" documentId="13_ncr:1_{1E3B38D1-10C3-4A49-AB54-27DC71AEA35C}" xr6:coauthVersionLast="47" xr6:coauthVersionMax="47" xr10:uidLastSave="{00000000-0000-0000-0000-000000000000}"/>
  <bookViews>
    <workbookView xWindow="5110" yWindow="1020" windowWidth="20630" windowHeight="11180" tabRatio="500" xr2:uid="{00000000-000D-0000-FFFF-FFFF00000000}"/>
  </bookViews>
  <sheets>
    <sheet name="0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8" i="1" l="1"/>
  <c r="BC13" i="1"/>
  <c r="BD13" i="1"/>
  <c r="BE13" i="1"/>
  <c r="BF13" i="1"/>
  <c r="BG13" i="1"/>
  <c r="BC14" i="1"/>
  <c r="BD14" i="1"/>
  <c r="BE14" i="1"/>
  <c r="BF14" i="1"/>
  <c r="BG14" i="1"/>
  <c r="BB14" i="1"/>
  <c r="BC10" i="1"/>
  <c r="BD10" i="1"/>
  <c r="BE10" i="1"/>
  <c r="BF10" i="1"/>
  <c r="BG10" i="1"/>
  <c r="BC11" i="1"/>
  <c r="BD11" i="1"/>
  <c r="BE11" i="1"/>
  <c r="BF11" i="1"/>
  <c r="BG11" i="1"/>
  <c r="BB11" i="1"/>
  <c r="BC7" i="1"/>
  <c r="BD7" i="1"/>
  <c r="BE7" i="1"/>
  <c r="BF7" i="1"/>
  <c r="BG7" i="1"/>
  <c r="BC8" i="1"/>
  <c r="BD8" i="1"/>
  <c r="BE8" i="1"/>
  <c r="BF8" i="1"/>
  <c r="BG8" i="1"/>
  <c r="BB7" i="1"/>
  <c r="BB13" i="1"/>
  <c r="BB10" i="1"/>
  <c r="AV13" i="1"/>
  <c r="AW13" i="1"/>
  <c r="AX13" i="1"/>
  <c r="AY13" i="1"/>
  <c r="AZ13" i="1"/>
  <c r="AV14" i="1"/>
  <c r="AW14" i="1"/>
  <c r="AX14" i="1"/>
  <c r="AY14" i="1"/>
  <c r="AZ14" i="1"/>
  <c r="AU14" i="1"/>
  <c r="AU13" i="1"/>
  <c r="AV10" i="1"/>
  <c r="AW10" i="1"/>
  <c r="AX10" i="1"/>
  <c r="AY10" i="1"/>
  <c r="AZ10" i="1"/>
  <c r="AV11" i="1"/>
  <c r="AW11" i="1"/>
  <c r="AX11" i="1"/>
  <c r="AY11" i="1"/>
  <c r="AZ11" i="1"/>
  <c r="AU11" i="1"/>
  <c r="AU10" i="1"/>
  <c r="AZ7" i="1"/>
  <c r="AV7" i="1"/>
  <c r="AW7" i="1"/>
  <c r="AX7" i="1"/>
  <c r="AY7" i="1"/>
  <c r="AV8" i="1"/>
  <c r="AW8" i="1"/>
  <c r="AX8" i="1"/>
  <c r="AY8" i="1"/>
  <c r="AZ8" i="1"/>
  <c r="AU8" i="1"/>
  <c r="AU7" i="1"/>
</calcChain>
</file>

<file path=xl/sharedStrings.xml><?xml version="1.0" encoding="utf-8"?>
<sst xmlns="http://schemas.openxmlformats.org/spreadsheetml/2006/main" count="243" uniqueCount="66">
  <si>
    <t>Data Set</t>
  </si>
  <si>
    <t>Target</t>
  </si>
  <si>
    <t>Sample Biological Group</t>
  </si>
  <si>
    <t>Control</t>
  </si>
  <si>
    <t>Relative Quantity</t>
  </si>
  <si>
    <t>Relative Quantity(lg)</t>
  </si>
  <si>
    <t>Relative Quantity SD</t>
  </si>
  <si>
    <t>Corrected Relative Quantity SD</t>
  </si>
  <si>
    <t>SD RQ(lg)</t>
  </si>
  <si>
    <t>Relative Quantity SEM</t>
  </si>
  <si>
    <t>Corrected Relative Quantity SEM</t>
  </si>
  <si>
    <t>SEM RQ(lg)</t>
  </si>
  <si>
    <t>Relative Quantity 95% CI Low</t>
  </si>
  <si>
    <t>Relative Quantity 95% CI High</t>
  </si>
  <si>
    <t>Unscaled Expression</t>
  </si>
  <si>
    <t>Unscaled Expression(lg)</t>
  </si>
  <si>
    <t>Unscaled Expression SD</t>
  </si>
  <si>
    <t>Corrected Unscaled Expression SD</t>
  </si>
  <si>
    <t>SD Unscaled Expression(lg)</t>
  </si>
  <si>
    <t>Unscaled Expression SEM</t>
  </si>
  <si>
    <t>Corrected Unscaled Expression SEM</t>
  </si>
  <si>
    <t>SEM Unscaled Expression(lg)</t>
  </si>
  <si>
    <t>Expression</t>
  </si>
  <si>
    <t>Expression(lg)</t>
  </si>
  <si>
    <t>Expression SD</t>
  </si>
  <si>
    <t>Corrected Expression SD</t>
  </si>
  <si>
    <t>SD Expression(lg)</t>
  </si>
  <si>
    <t>Expression SEM</t>
  </si>
  <si>
    <t>Corrected Expression SEM</t>
  </si>
  <si>
    <t>SEM Expression(lg)</t>
  </si>
  <si>
    <t>Expression 95% CI Low</t>
  </si>
  <si>
    <t>Expression 95% CI High</t>
  </si>
  <si>
    <t>Wells</t>
  </si>
  <si>
    <t>Mean Cq</t>
  </si>
  <si>
    <t>Cq SD</t>
  </si>
  <si>
    <t>Cq SEM</t>
  </si>
  <si>
    <t>P-Value</t>
  </si>
  <si>
    <t>2-GAPDH</t>
  </si>
  <si>
    <t>GAPDH</t>
  </si>
  <si>
    <t>BT474_CTRL</t>
  </si>
  <si>
    <t/>
  </si>
  <si>
    <t>BT474_DFMO</t>
  </si>
  <si>
    <t>MCF10A_CTRL</t>
  </si>
  <si>
    <t>MCF10A_DFMO</t>
  </si>
  <si>
    <t>MCF7_CTRL</t>
  </si>
  <si>
    <t>MCF7_DFMO</t>
  </si>
  <si>
    <t>MDAMB231_CTRL</t>
  </si>
  <si>
    <t>MDAMB231_DFMO</t>
  </si>
  <si>
    <t>MDAMB453_CTRL</t>
  </si>
  <si>
    <t>MDAMB453_DFMO</t>
  </si>
  <si>
    <t>SUM149PT_CTRL</t>
  </si>
  <si>
    <t>SUM149PT_DFMO</t>
  </si>
  <si>
    <t>1-hATP13A2</t>
  </si>
  <si>
    <t>hATP13A2</t>
  </si>
  <si>
    <t>1-hATP13A3</t>
  </si>
  <si>
    <t>hATP13A3</t>
  </si>
  <si>
    <t>2-hATP13A4</t>
  </si>
  <si>
    <t>hATP13A4</t>
  </si>
  <si>
    <t>MCF10A</t>
  </si>
  <si>
    <t>MCF7</t>
  </si>
  <si>
    <t>BT474</t>
  </si>
  <si>
    <t>MDAMB453</t>
  </si>
  <si>
    <t>MDAMB231</t>
  </si>
  <si>
    <t>SUM149PT</t>
  </si>
  <si>
    <t>CTRL</t>
  </si>
  <si>
    <t>DFMO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</si>
</sst>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000;\-###0.00000"/>
    <numFmt numFmtId="165" formatCode="###0;\-###0"/>
    <numFmt numFmtId="166" formatCode="###0.00;\-###0.00"/>
    <numFmt numFmtId="167" formatCode="###0.000000;\-###0.000000"/>
  </numFmts>
  <fonts count="19" x14ac:knownFonts="1"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b/>
      <sz val="8.25"/>
      <name val="Microsoft Sans Serif"/>
      <family val="2"/>
    </font>
    <font>
      <sz val="8.25"/>
      <name val="Microsoft Sans 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1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 applyProtection="1">
      <alignment horizontal="center" vertical="center"/>
      <protection locked="0"/>
    </xf>
    <xf numFmtId="49" fontId="5" fillId="4" borderId="0" xfId="0" applyNumberFormat="1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Fill="1" applyBorder="1" applyAlignment="1" applyProtection="1">
      <alignment vertical="center"/>
    </xf>
    <xf numFmtId="164" fontId="7" fillId="0" borderId="0" xfId="0" applyNumberFormat="1" applyFont="1" applyFill="1" applyBorder="1" applyAlignment="1" applyProtection="1">
      <alignment vertical="center"/>
    </xf>
    <xf numFmtId="165" fontId="8" fillId="0" borderId="0" xfId="0" applyNumberFormat="1" applyFont="1" applyFill="1" applyBorder="1" applyAlignment="1" applyProtection="1">
      <alignment vertical="center"/>
    </xf>
    <xf numFmtId="166" fontId="9" fillId="0" borderId="0" xfId="0" applyNumberFormat="1" applyFont="1" applyFill="1" applyBorder="1" applyAlignment="1" applyProtection="1">
      <alignment vertical="center"/>
    </xf>
    <xf numFmtId="167" fontId="10" fillId="0" borderId="0" xfId="0" applyNumberFormat="1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>
      <alignment vertical="center"/>
    </xf>
    <xf numFmtId="49" fontId="12" fillId="0" borderId="0" xfId="0" applyNumberFormat="1" applyFont="1" applyFill="1" applyBorder="1" applyAlignment="1" applyProtection="1">
      <alignment vertical="center"/>
    </xf>
    <xf numFmtId="164" fontId="13" fillId="0" borderId="0" xfId="0" applyNumberFormat="1" applyFont="1" applyFill="1" applyBorder="1" applyAlignment="1" applyProtection="1">
      <alignment vertical="center"/>
    </xf>
    <xf numFmtId="165" fontId="14" fillId="0" borderId="0" xfId="0" applyNumberFormat="1" applyFont="1" applyFill="1" applyBorder="1" applyAlignment="1" applyProtection="1">
      <alignment vertical="center"/>
    </xf>
    <xf numFmtId="166" fontId="15" fillId="0" borderId="0" xfId="0" applyNumberFormat="1" applyFont="1" applyFill="1" applyBorder="1" applyAlignment="1" applyProtection="1">
      <alignment vertical="center"/>
    </xf>
    <xf numFmtId="167" fontId="16" fillId="0" borderId="0" xfId="0" applyNumberFormat="1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</xf>
    <xf numFmtId="167" fontId="18" fillId="0" borderId="0" xfId="0" applyNumberFormat="1" applyFont="1" applyAlignment="1" applyProtection="1">
      <alignment vertical="center"/>
    </xf>
    <xf numFmtId="167" fontId="0" fillId="0" borderId="0" xfId="0" applyNumberFormat="1" applyAlignment="1" applyProtection="1">
      <alignment vertical="center"/>
    </xf>
    <xf numFmtId="49" fontId="6" fillId="5" borderId="0" xfId="0" applyNumberFormat="1" applyFont="1" applyFill="1" applyBorder="1" applyAlignment="1" applyProtection="1">
      <alignment vertical="center"/>
    </xf>
    <xf numFmtId="164" fontId="7" fillId="5" borderId="0" xfId="0" applyNumberFormat="1" applyFont="1" applyFill="1" applyBorder="1" applyAlignment="1" applyProtection="1">
      <alignment vertical="center"/>
    </xf>
    <xf numFmtId="49" fontId="6" fillId="6" borderId="0" xfId="0" applyNumberFormat="1" applyFont="1" applyFill="1" applyBorder="1" applyAlignment="1" applyProtection="1">
      <alignment vertical="center"/>
    </xf>
    <xf numFmtId="164" fontId="7" fillId="6" borderId="0" xfId="0" applyNumberFormat="1" applyFont="1" applyFill="1" applyBorder="1" applyAlignment="1" applyProtection="1">
      <alignment vertical="center"/>
    </xf>
    <xf numFmtId="49" fontId="6" fillId="7" borderId="0" xfId="0" applyNumberFormat="1" applyFont="1" applyFill="1" applyBorder="1" applyAlignment="1" applyProtection="1">
      <alignment vertical="center"/>
    </xf>
    <xf numFmtId="164" fontId="7" fillId="7" borderId="0" xfId="0" applyNumberFormat="1" applyFont="1" applyFill="1" applyBorder="1" applyAlignment="1" applyProtection="1">
      <alignment vertical="center"/>
    </xf>
    <xf numFmtId="49" fontId="12" fillId="8" borderId="0" xfId="0" applyNumberFormat="1" applyFont="1" applyFill="1" applyBorder="1" applyAlignment="1" applyProtection="1">
      <alignment vertical="center"/>
    </xf>
    <xf numFmtId="49" fontId="6" fillId="8" borderId="0" xfId="0" applyNumberFormat="1" applyFont="1" applyFill="1" applyBorder="1" applyAlignment="1" applyProtection="1">
      <alignment vertical="center"/>
    </xf>
    <xf numFmtId="164" fontId="13" fillId="8" borderId="0" xfId="0" applyNumberFormat="1" applyFont="1" applyFill="1" applyBorder="1" applyAlignment="1" applyProtection="1">
      <alignment vertical="center"/>
    </xf>
    <xf numFmtId="164" fontId="7" fillId="8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9"/>
  <sheetViews>
    <sheetView tabSelected="1" zoomScale="92" workbookViewId="0">
      <pane xSplit="1" ySplit="1" topLeftCell="AM9" activePane="bottomRight" state="frozen"/>
      <selection activeCell="B2" sqref="B2"/>
      <selection pane="topRight" activeCell="B2" sqref="B2"/>
      <selection pane="bottomLeft" activeCell="B2" sqref="B2"/>
      <selection pane="bottomRight" activeCell="BG13" sqref="BG13:BG14"/>
    </sheetView>
  </sheetViews>
  <sheetFormatPr defaultColWidth="10" defaultRowHeight="15" customHeight="1" x14ac:dyDescent="0.25"/>
  <cols>
    <col min="1" max="1" width="1.44140625" style="4" customWidth="1"/>
    <col min="2" max="2" width="25" style="6" hidden="1" customWidth="1"/>
    <col min="3" max="3" width="13.33203125" style="6" customWidth="1"/>
    <col min="4" max="4" width="20" style="6" customWidth="1"/>
    <col min="5" max="5" width="10" style="6" customWidth="1"/>
    <col min="6" max="6" width="15" style="7" customWidth="1"/>
    <col min="7" max="10" width="15" style="7" hidden="1" customWidth="1"/>
    <col min="11" max="12" width="15" style="7" customWidth="1"/>
    <col min="13" max="33" width="15" style="7" hidden="1" customWidth="1"/>
    <col min="34" max="34" width="15" style="8" hidden="1" customWidth="1"/>
    <col min="35" max="35" width="15" style="9" customWidth="1"/>
    <col min="36" max="36" width="15" style="7" hidden="1" customWidth="1"/>
    <col min="37" max="37" width="15" style="7" customWidth="1"/>
    <col min="38" max="38" width="15" style="10" customWidth="1"/>
    <col min="39" max="39" width="10" style="1" customWidth="1"/>
    <col min="40" max="16384" width="10" style="1"/>
  </cols>
  <sheetData>
    <row r="1" spans="1:59" s="2" customFormat="1" ht="41.25" customHeight="1" x14ac:dyDescent="0.25">
      <c r="A1" s="5"/>
      <c r="B1" s="3" t="s">
        <v>0</v>
      </c>
      <c r="C1" s="3" t="s">
        <v>1</v>
      </c>
      <c r="D1" s="3" t="s">
        <v>2</v>
      </c>
      <c r="E1" s="3" t="s">
        <v>3</v>
      </c>
      <c r="F1" s="17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59" ht="15" customHeight="1" x14ac:dyDescent="0.25">
      <c r="B2" s="6" t="s">
        <v>37</v>
      </c>
      <c r="C2" s="21" t="s">
        <v>38</v>
      </c>
      <c r="D2" s="6" t="s">
        <v>39</v>
      </c>
      <c r="E2" s="6" t="s">
        <v>40</v>
      </c>
      <c r="F2" s="22">
        <v>0.93900859867403397</v>
      </c>
      <c r="G2" s="7">
        <v>-9.0789725924619702E-2</v>
      </c>
      <c r="H2" s="7">
        <v>8.0032004685272294E-3</v>
      </c>
      <c r="I2" s="7">
        <v>8.0096010642052608E-3</v>
      </c>
      <c r="K2" s="7">
        <v>5.6591173224909601E-3</v>
      </c>
      <c r="L2" s="7">
        <v>5.6636432270985304E-3</v>
      </c>
      <c r="AH2" s="8">
        <v>2</v>
      </c>
      <c r="AI2" s="9">
        <v>14.149010614048899</v>
      </c>
      <c r="AJ2" s="7">
        <v>1.28550449376491E-2</v>
      </c>
      <c r="AK2" s="7">
        <v>9.0898894478694797E-3</v>
      </c>
    </row>
    <row r="3" spans="1:59" ht="15" customHeight="1" x14ac:dyDescent="0.25">
      <c r="B3" s="6" t="s">
        <v>37</v>
      </c>
      <c r="C3" s="21" t="s">
        <v>38</v>
      </c>
      <c r="D3" s="6" t="s">
        <v>41</v>
      </c>
      <c r="E3" s="6" t="s">
        <v>40</v>
      </c>
      <c r="F3" s="22">
        <v>0.68517303378747096</v>
      </c>
      <c r="G3" s="7">
        <v>-0.54545972219669203</v>
      </c>
      <c r="H3" s="7">
        <v>5.7078892506870801E-2</v>
      </c>
      <c r="I3" s="7">
        <v>5.7096144127728898E-2</v>
      </c>
      <c r="K3" s="7">
        <v>4.0360871954226399E-2</v>
      </c>
      <c r="L3" s="7">
        <v>4.03730706923216E-2</v>
      </c>
      <c r="AH3" s="8">
        <v>2</v>
      </c>
      <c r="AI3" s="9">
        <v>14.6243471861494</v>
      </c>
      <c r="AJ3" s="7">
        <v>0.12564775944937001</v>
      </c>
      <c r="AK3" s="7">
        <v>8.8846382747545805E-2</v>
      </c>
      <c r="AM3" s="18"/>
      <c r="AN3" s="18" t="s">
        <v>58</v>
      </c>
      <c r="AO3" s="18" t="s">
        <v>59</v>
      </c>
      <c r="AP3" s="18" t="s">
        <v>60</v>
      </c>
      <c r="AQ3" s="18" t="s">
        <v>61</v>
      </c>
      <c r="AR3" s="18" t="s">
        <v>62</v>
      </c>
      <c r="AS3" s="18" t="s">
        <v>63</v>
      </c>
    </row>
    <row r="4" spans="1:59" ht="15" customHeight="1" x14ac:dyDescent="0.25">
      <c r="B4" s="6" t="s">
        <v>37</v>
      </c>
      <c r="C4" s="21" t="s">
        <v>38</v>
      </c>
      <c r="D4" s="6" t="s">
        <v>42</v>
      </c>
      <c r="E4" s="6" t="s">
        <v>40</v>
      </c>
      <c r="F4" s="22">
        <v>0.99545610563371101</v>
      </c>
      <c r="G4" s="7">
        <v>-6.5703927846008604E-3</v>
      </c>
      <c r="H4" s="7">
        <v>4.5247069730475202E-2</v>
      </c>
      <c r="I4" s="7">
        <v>4.52470763967249E-2</v>
      </c>
      <c r="K4" s="7">
        <v>3.1994509835239597E-2</v>
      </c>
      <c r="L4" s="7">
        <v>3.1994514548989897E-2</v>
      </c>
      <c r="AH4" s="8">
        <v>2</v>
      </c>
      <c r="AI4" s="9">
        <v>14.060963174262699</v>
      </c>
      <c r="AJ4" s="7">
        <v>6.8556370482270299E-2</v>
      </c>
      <c r="AK4" s="7">
        <v>4.8476674461550601E-2</v>
      </c>
      <c r="AL4" s="19"/>
      <c r="AM4" s="19" t="s">
        <v>64</v>
      </c>
      <c r="AN4" s="22">
        <v>0.99545610563371101</v>
      </c>
      <c r="AO4" s="22">
        <v>1.0240526174694</v>
      </c>
      <c r="AP4" s="22">
        <v>0.93900859867403397</v>
      </c>
      <c r="AQ4" s="22">
        <v>0.69072428411067599</v>
      </c>
      <c r="AR4" s="22">
        <v>0.821830858554642</v>
      </c>
      <c r="AS4" s="22">
        <v>1.8403434288681699</v>
      </c>
    </row>
    <row r="5" spans="1:59" ht="15" customHeight="1" x14ac:dyDescent="0.25">
      <c r="B5" s="6" t="s">
        <v>37</v>
      </c>
      <c r="C5" s="21" t="s">
        <v>38</v>
      </c>
      <c r="D5" s="6" t="s">
        <v>43</v>
      </c>
      <c r="E5" s="6" t="s">
        <v>40</v>
      </c>
      <c r="F5" s="22">
        <v>1.17611353384963</v>
      </c>
      <c r="G5" s="7">
        <v>0.23402733467748599</v>
      </c>
      <c r="H5" s="7">
        <v>3.5692827400159999E-2</v>
      </c>
      <c r="I5" s="7">
        <v>3.5707789924425803E-2</v>
      </c>
      <c r="K5" s="7">
        <v>2.5238640294374101E-2</v>
      </c>
      <c r="L5" s="7">
        <v>2.5249220396746101E-2</v>
      </c>
      <c r="AH5" s="8">
        <v>2</v>
      </c>
      <c r="AI5" s="9">
        <v>13.809429314617899</v>
      </c>
      <c r="AJ5" s="7">
        <v>4.5773189695225598E-2</v>
      </c>
      <c r="AK5" s="7">
        <v>3.2366532830032199E-2</v>
      </c>
      <c r="AL5" s="20"/>
      <c r="AM5" s="20" t="s">
        <v>65</v>
      </c>
      <c r="AN5" s="22">
        <v>1.17611353384963</v>
      </c>
      <c r="AO5" s="22">
        <v>0.92761242184266202</v>
      </c>
      <c r="AP5" s="22">
        <v>0.68517303378747096</v>
      </c>
      <c r="AQ5" s="22">
        <v>0.56677636096883799</v>
      </c>
      <c r="AR5" s="22">
        <v>0.877985004828299</v>
      </c>
      <c r="AS5" s="22">
        <v>2.3502563752923602</v>
      </c>
    </row>
    <row r="6" spans="1:59" ht="15" customHeight="1" x14ac:dyDescent="0.25">
      <c r="B6" s="6" t="s">
        <v>37</v>
      </c>
      <c r="C6" s="21" t="s">
        <v>38</v>
      </c>
      <c r="D6" s="6" t="s">
        <v>44</v>
      </c>
      <c r="E6" s="6" t="s">
        <v>40</v>
      </c>
      <c r="F6" s="22">
        <v>1.0240526174694</v>
      </c>
      <c r="G6" s="7">
        <v>3.4289845232360297E-2</v>
      </c>
      <c r="H6" s="7">
        <v>2.96961848933332E-2</v>
      </c>
      <c r="I6" s="7">
        <v>2.9696477657530699E-2</v>
      </c>
      <c r="K6" s="7">
        <v>2.0998373713445401E-2</v>
      </c>
      <c r="L6" s="7">
        <v>2.0998580728994801E-2</v>
      </c>
      <c r="AH6" s="8">
        <v>2</v>
      </c>
      <c r="AI6" s="9">
        <v>14.018245674464101</v>
      </c>
      <c r="AJ6" s="7">
        <v>4.3737893166989499E-2</v>
      </c>
      <c r="AK6" s="7">
        <v>3.0927360853191001E-2</v>
      </c>
      <c r="AL6" s="19"/>
      <c r="AM6" s="19"/>
    </row>
    <row r="7" spans="1:59" ht="15" customHeight="1" x14ac:dyDescent="0.25">
      <c r="B7" s="6" t="s">
        <v>37</v>
      </c>
      <c r="C7" s="21" t="s">
        <v>38</v>
      </c>
      <c r="D7" s="6" t="s">
        <v>45</v>
      </c>
      <c r="E7" s="6" t="s">
        <v>40</v>
      </c>
      <c r="F7" s="22">
        <v>0.92761242184266202</v>
      </c>
      <c r="G7" s="7">
        <v>-0.108405955357505</v>
      </c>
      <c r="H7" s="7">
        <v>1.1326840515425299E-2</v>
      </c>
      <c r="I7" s="7">
        <v>1.13331334780583E-2</v>
      </c>
      <c r="K7" s="7">
        <v>8.0092857378757393E-3</v>
      </c>
      <c r="L7" s="7">
        <v>8.0137355344272899E-3</v>
      </c>
      <c r="AH7" s="8">
        <v>2</v>
      </c>
      <c r="AI7" s="9">
        <v>14.1674275717998</v>
      </c>
      <c r="AJ7" s="7">
        <v>1.8417119359749601E-2</v>
      </c>
      <c r="AK7" s="7">
        <v>1.3022869989201E-2</v>
      </c>
      <c r="AL7" s="19"/>
      <c r="AM7" s="19" t="s">
        <v>64</v>
      </c>
      <c r="AN7" s="24">
        <v>0.94513127216825699</v>
      </c>
      <c r="AO7" s="24">
        <v>0.93218520886422696</v>
      </c>
      <c r="AP7" s="24">
        <v>0.49667624769873903</v>
      </c>
      <c r="AQ7" s="24">
        <v>2.20247263963063</v>
      </c>
      <c r="AR7" s="24">
        <v>1.9428233020187899</v>
      </c>
      <c r="AS7" s="24">
        <v>0.53405802082504705</v>
      </c>
      <c r="AU7" s="1">
        <f>AN7/AN4</f>
        <v>0.9494454520087382</v>
      </c>
      <c r="AV7" s="1">
        <f t="shared" ref="AV7:AY7" si="0">AO7/AO4</f>
        <v>0.91029034344720261</v>
      </c>
      <c r="AW7" s="1">
        <f t="shared" si="0"/>
        <v>0.5289368472238607</v>
      </c>
      <c r="AX7" s="1">
        <f t="shared" si="0"/>
        <v>3.1886422561013128</v>
      </c>
      <c r="AY7" s="1">
        <f t="shared" si="0"/>
        <v>2.3640184373651323</v>
      </c>
      <c r="AZ7" s="1">
        <f>AS7/AS4</f>
        <v>0.29019476063415955</v>
      </c>
      <c r="BB7" s="1">
        <f>AU7/$AU$7</f>
        <v>1</v>
      </c>
      <c r="BC7" s="1">
        <f t="shared" ref="BC7:BG8" si="1">AV7/$AU$7</f>
        <v>0.95876002304429886</v>
      </c>
      <c r="BD7" s="1">
        <f t="shared" si="1"/>
        <v>0.55710082775665626</v>
      </c>
      <c r="BE7" s="1">
        <f t="shared" si="1"/>
        <v>3.3584259626028166</v>
      </c>
      <c r="BF7" s="1">
        <f t="shared" si="1"/>
        <v>2.489893897920715</v>
      </c>
      <c r="BG7" s="1">
        <f t="shared" si="1"/>
        <v>0.3056465856149983</v>
      </c>
    </row>
    <row r="8" spans="1:59" ht="15" customHeight="1" x14ac:dyDescent="0.25">
      <c r="B8" s="6" t="s">
        <v>37</v>
      </c>
      <c r="C8" s="21" t="s">
        <v>38</v>
      </c>
      <c r="D8" s="6" t="s">
        <v>46</v>
      </c>
      <c r="E8" s="6" t="s">
        <v>40</v>
      </c>
      <c r="F8" s="22">
        <v>0.821830858554642</v>
      </c>
      <c r="G8" s="7">
        <v>-0.28308659226215399</v>
      </c>
      <c r="H8" s="7">
        <v>1.2505880211712899E-2</v>
      </c>
      <c r="I8" s="7">
        <v>1.25363595466789E-2</v>
      </c>
      <c r="K8" s="7">
        <v>8.8429927024088195E-3</v>
      </c>
      <c r="L8" s="7">
        <v>8.8645448468493496E-3</v>
      </c>
      <c r="AH8" s="8">
        <v>2</v>
      </c>
      <c r="AI8" s="9">
        <v>14.350048144609501</v>
      </c>
      <c r="AJ8" s="7">
        <v>2.29515115611247E-2</v>
      </c>
      <c r="AK8" s="7">
        <v>1.6229169463352702E-2</v>
      </c>
      <c r="AL8" s="20"/>
      <c r="AM8" s="20" t="s">
        <v>65</v>
      </c>
      <c r="AN8" s="24">
        <v>0.93541439823620598</v>
      </c>
      <c r="AO8" s="24">
        <v>0.92080036278994803</v>
      </c>
      <c r="AP8" s="24">
        <v>0.39538755947888399</v>
      </c>
      <c r="AQ8" s="24">
        <v>1.98243814244578</v>
      </c>
      <c r="AR8" s="24">
        <v>2.35179237281675</v>
      </c>
      <c r="AS8" s="24">
        <v>0.62661093514880495</v>
      </c>
      <c r="AU8" s="1">
        <f>AN8/AN5</f>
        <v>0.79534362228995636</v>
      </c>
      <c r="AV8" s="1">
        <f t="shared" ref="AV8:AZ8" si="2">AO8/AO5</f>
        <v>0.99265635205791858</v>
      </c>
      <c r="AW8" s="1">
        <f t="shared" si="2"/>
        <v>0.57706234773029097</v>
      </c>
      <c r="AX8" s="1">
        <f t="shared" si="2"/>
        <v>3.4977431646179342</v>
      </c>
      <c r="AY8" s="1">
        <f t="shared" si="2"/>
        <v>2.6786247599714672</v>
      </c>
      <c r="AZ8" s="1">
        <f t="shared" si="2"/>
        <v>0.26661386465587511</v>
      </c>
      <c r="BB8" s="1">
        <f>AU8/$AU$7</f>
        <v>0.83769280331718987</v>
      </c>
      <c r="BC8" s="1">
        <f t="shared" si="1"/>
        <v>1.0455117247207402</v>
      </c>
      <c r="BD8" s="1">
        <f t="shared" si="1"/>
        <v>0.6077888376940479</v>
      </c>
      <c r="BE8" s="1">
        <f t="shared" si="1"/>
        <v>3.6839853803267708</v>
      </c>
      <c r="BF8" s="1">
        <f t="shared" si="1"/>
        <v>2.8212518731900929</v>
      </c>
      <c r="BG8" s="1">
        <f t="shared" si="1"/>
        <v>0.28081009192450301</v>
      </c>
    </row>
    <row r="9" spans="1:59" ht="15" customHeight="1" x14ac:dyDescent="0.25">
      <c r="B9" s="6" t="s">
        <v>37</v>
      </c>
      <c r="C9" s="21" t="s">
        <v>38</v>
      </c>
      <c r="D9" s="6" t="s">
        <v>47</v>
      </c>
      <c r="E9" s="6" t="s">
        <v>40</v>
      </c>
      <c r="F9" s="22">
        <v>0.877985004828299</v>
      </c>
      <c r="G9" s="7">
        <v>-0.187731794813049</v>
      </c>
      <c r="H9" s="7">
        <v>2.77257693900217E-2</v>
      </c>
      <c r="I9" s="7">
        <v>2.7732677469496099E-2</v>
      </c>
      <c r="K9" s="7">
        <v>1.9605079549298798E-2</v>
      </c>
      <c r="L9" s="7">
        <v>1.9609964299140099E-2</v>
      </c>
      <c r="AH9" s="8">
        <v>2</v>
      </c>
      <c r="AI9" s="9">
        <v>14.250359088977</v>
      </c>
      <c r="AJ9" s="7">
        <v>4.7629495445447201E-2</v>
      </c>
      <c r="AK9" s="7">
        <v>3.3679139213969499E-2</v>
      </c>
      <c r="AL9" s="19"/>
      <c r="AM9" s="19"/>
    </row>
    <row r="10" spans="1:59" ht="15" customHeight="1" x14ac:dyDescent="0.25">
      <c r="B10" s="6" t="s">
        <v>37</v>
      </c>
      <c r="C10" s="21" t="s">
        <v>38</v>
      </c>
      <c r="D10" s="6" t="s">
        <v>48</v>
      </c>
      <c r="E10" s="6" t="s">
        <v>40</v>
      </c>
      <c r="F10" s="22">
        <v>0.69072428411067599</v>
      </c>
      <c r="G10" s="7">
        <v>-0.53381814885446999</v>
      </c>
      <c r="H10" s="7">
        <v>4.4042419289485303E-2</v>
      </c>
      <c r="I10" s="7">
        <v>4.4064179487839798E-2</v>
      </c>
      <c r="K10" s="7">
        <v>3.1142693339456299E-2</v>
      </c>
      <c r="L10" s="7">
        <v>3.1158080123272699E-2</v>
      </c>
      <c r="AH10" s="8">
        <v>2</v>
      </c>
      <c r="AI10" s="9">
        <v>14.6121764565835</v>
      </c>
      <c r="AJ10" s="7">
        <v>9.6171394859434198E-2</v>
      </c>
      <c r="AK10" s="7">
        <v>6.8003445461275E-2</v>
      </c>
      <c r="AL10" s="19"/>
      <c r="AM10" s="19" t="s">
        <v>64</v>
      </c>
      <c r="AN10" s="26">
        <v>0.63368517464453999</v>
      </c>
      <c r="AO10" s="26">
        <v>0.67813849575177199</v>
      </c>
      <c r="AP10" s="26">
        <v>1.48728770809744</v>
      </c>
      <c r="AQ10" s="26">
        <v>1.0327283711556201</v>
      </c>
      <c r="AR10" s="26">
        <v>0.85716236686513403</v>
      </c>
      <c r="AS10" s="26">
        <v>0.75705629803684504</v>
      </c>
      <c r="AU10" s="1">
        <f>AN10/AN4</f>
        <v>0.63657771654445139</v>
      </c>
      <c r="AV10" s="1">
        <f t="shared" ref="AV10:AZ10" si="3">AO10/AO4</f>
        <v>0.66221059756437328</v>
      </c>
      <c r="AW10" s="1">
        <f t="shared" si="3"/>
        <v>1.5838914682971235</v>
      </c>
      <c r="AX10" s="1">
        <f t="shared" si="3"/>
        <v>1.495138356812346</v>
      </c>
      <c r="AY10" s="1">
        <f t="shared" si="3"/>
        <v>1.0429912164318456</v>
      </c>
      <c r="AZ10" s="1">
        <f t="shared" si="3"/>
        <v>0.41136686020741381</v>
      </c>
      <c r="BB10" s="1">
        <f>AU10/$AU$10</f>
        <v>1</v>
      </c>
      <c r="BC10" s="1">
        <f t="shared" ref="BC10:BG11" si="4">AV10/$AU$10</f>
        <v>1.0402666954147648</v>
      </c>
      <c r="BD10" s="1">
        <f t="shared" si="4"/>
        <v>2.4881352694765941</v>
      </c>
      <c r="BE10" s="1">
        <f t="shared" si="4"/>
        <v>2.3487129975715106</v>
      </c>
      <c r="BF10" s="1">
        <f t="shared" si="4"/>
        <v>1.6384350085226629</v>
      </c>
      <c r="BG10" s="1">
        <f t="shared" si="4"/>
        <v>0.64621624275578704</v>
      </c>
    </row>
    <row r="11" spans="1:59" ht="15" customHeight="1" x14ac:dyDescent="0.25">
      <c r="B11" s="6" t="s">
        <v>37</v>
      </c>
      <c r="C11" s="21" t="s">
        <v>38</v>
      </c>
      <c r="D11" s="6" t="s">
        <v>49</v>
      </c>
      <c r="E11" s="6" t="s">
        <v>40</v>
      </c>
      <c r="F11" s="22">
        <v>0.56677636096883799</v>
      </c>
      <c r="G11" s="7">
        <v>-0.81914850710464804</v>
      </c>
      <c r="H11" s="7">
        <v>1.9010304212709699E-2</v>
      </c>
      <c r="I11" s="7">
        <v>1.9090084300008501E-2</v>
      </c>
      <c r="K11" s="7">
        <v>1.3442315021226199E-2</v>
      </c>
      <c r="L11" s="7">
        <v>1.34987280619589E-2</v>
      </c>
      <c r="AH11" s="8">
        <v>2</v>
      </c>
      <c r="AI11" s="9">
        <v>14.910476224588701</v>
      </c>
      <c r="AJ11" s="7">
        <v>5.0589083451738397E-2</v>
      </c>
      <c r="AK11" s="7">
        <v>3.5771883962736298E-2</v>
      </c>
      <c r="AL11" s="20"/>
      <c r="AM11" s="20" t="s">
        <v>65</v>
      </c>
      <c r="AN11" s="26">
        <v>1.03562105333264</v>
      </c>
      <c r="AO11" s="26">
        <v>0.66594012222579402</v>
      </c>
      <c r="AP11" s="26">
        <v>1.0369139020460201</v>
      </c>
      <c r="AQ11" s="26">
        <v>0.94755872408616304</v>
      </c>
      <c r="AR11" s="26">
        <v>1.54445912853553</v>
      </c>
      <c r="AS11" s="26">
        <v>0.95551761178171102</v>
      </c>
      <c r="AU11" s="1">
        <f>AN11/AN5</f>
        <v>0.88054513746038354</v>
      </c>
      <c r="AV11" s="1">
        <f t="shared" ref="AV11:AZ11" si="5">AO11/AO5</f>
        <v>0.71790772368370481</v>
      </c>
      <c r="AW11" s="1">
        <f t="shared" si="5"/>
        <v>1.5133606416385224</v>
      </c>
      <c r="AX11" s="1">
        <f t="shared" si="5"/>
        <v>1.6718388227526322</v>
      </c>
      <c r="AY11" s="1">
        <f t="shared" si="5"/>
        <v>1.7590951098732812</v>
      </c>
      <c r="AZ11" s="1">
        <f t="shared" si="5"/>
        <v>0.40655888516113453</v>
      </c>
      <c r="BB11" s="1">
        <f>AU11/$AU$10</f>
        <v>1.3832484464587698</v>
      </c>
      <c r="BC11" s="1">
        <f t="shared" si="4"/>
        <v>1.1277613165298008</v>
      </c>
      <c r="BD11" s="1">
        <f t="shared" si="4"/>
        <v>2.3773383866679008</v>
      </c>
      <c r="BE11" s="1">
        <f t="shared" si="4"/>
        <v>2.6262917775820225</v>
      </c>
      <c r="BF11" s="1">
        <f t="shared" si="4"/>
        <v>2.7633626879404689</v>
      </c>
      <c r="BG11" s="1">
        <f t="shared" si="4"/>
        <v>0.63866339426404517</v>
      </c>
    </row>
    <row r="12" spans="1:59" ht="15" customHeight="1" x14ac:dyDescent="0.25">
      <c r="B12" s="6" t="s">
        <v>37</v>
      </c>
      <c r="C12" s="21" t="s">
        <v>38</v>
      </c>
      <c r="D12" s="6" t="s">
        <v>50</v>
      </c>
      <c r="E12" s="6" t="s">
        <v>40</v>
      </c>
      <c r="F12" s="22">
        <v>1.8403434288681699</v>
      </c>
      <c r="G12" s="7">
        <v>0.87997501459349303</v>
      </c>
      <c r="H12" s="7">
        <v>1.9968843873622501E-2</v>
      </c>
      <c r="I12" s="7">
        <v>2.0874355119185801E-2</v>
      </c>
      <c r="K12" s="7">
        <v>1.4120104915493901E-2</v>
      </c>
      <c r="L12" s="7">
        <v>1.4760398057672401E-2</v>
      </c>
      <c r="AH12" s="8">
        <v>2</v>
      </c>
      <c r="AI12" s="9">
        <v>13.134120720593501</v>
      </c>
      <c r="AJ12" s="7">
        <v>1.6365659816784599E-2</v>
      </c>
      <c r="AK12" s="7">
        <v>1.15722690350406E-2</v>
      </c>
      <c r="AL12" s="19"/>
      <c r="AM12" s="19"/>
    </row>
    <row r="13" spans="1:59" ht="15" customHeight="1" x14ac:dyDescent="0.25">
      <c r="B13" s="6" t="s">
        <v>37</v>
      </c>
      <c r="C13" s="21" t="s">
        <v>38</v>
      </c>
      <c r="D13" s="6" t="s">
        <v>51</v>
      </c>
      <c r="E13" s="6" t="s">
        <v>40</v>
      </c>
      <c r="F13" s="22">
        <v>2.3502563752923602</v>
      </c>
      <c r="G13" s="7">
        <v>1.2328181402748</v>
      </c>
      <c r="H13" s="7">
        <v>7.0464275058695597E-2</v>
      </c>
      <c r="I13" s="7">
        <v>7.1299375645520593E-2</v>
      </c>
      <c r="K13" s="7">
        <v>4.9825766725397798E-2</v>
      </c>
      <c r="L13" s="7">
        <v>5.0416272013314598E-2</v>
      </c>
      <c r="AH13" s="8">
        <v>2</v>
      </c>
      <c r="AI13" s="9">
        <v>12.765239458962601</v>
      </c>
      <c r="AJ13" s="7">
        <v>4.5220277351206997E-2</v>
      </c>
      <c r="AK13" s="7">
        <v>3.1975564762174898E-2</v>
      </c>
      <c r="AL13" s="19"/>
      <c r="AM13" s="19" t="s">
        <v>64</v>
      </c>
      <c r="AN13" s="29">
        <v>2.3442956091442002</v>
      </c>
      <c r="AO13" s="29">
        <v>8.4872779091841402</v>
      </c>
      <c r="AP13" s="29">
        <v>25.191810826470299</v>
      </c>
      <c r="AQ13" s="30">
        <v>4.6316558243479501E-2</v>
      </c>
      <c r="AR13" s="29">
        <v>0.15100893002097199</v>
      </c>
      <c r="AS13" s="30">
        <v>0.15978705533201201</v>
      </c>
      <c r="AU13" s="1">
        <f>AN13/AN4</f>
        <v>2.3549964643110135</v>
      </c>
      <c r="AV13" s="1">
        <f t="shared" ref="AV13:AZ13" si="6">AO13/AO4</f>
        <v>8.2879314640663484</v>
      </c>
      <c r="AW13" s="1">
        <f t="shared" si="6"/>
        <v>26.828093866279222</v>
      </c>
      <c r="AX13" s="1">
        <f t="shared" si="6"/>
        <v>6.7055059897181954E-2</v>
      </c>
      <c r="AY13" s="1">
        <f t="shared" si="6"/>
        <v>0.18374696988934211</v>
      </c>
      <c r="AZ13" s="1">
        <f t="shared" si="6"/>
        <v>8.6824585468964724E-2</v>
      </c>
      <c r="BB13" s="1">
        <f>AU13/$AU$13</f>
        <v>1</v>
      </c>
      <c r="BC13" s="1">
        <f t="shared" ref="BC13:BG14" si="7">AV13/$AU$13</f>
        <v>3.5192967758833116</v>
      </c>
      <c r="BD13" s="1">
        <f t="shared" si="7"/>
        <v>11.391989021150462</v>
      </c>
      <c r="BE13" s="1">
        <f t="shared" si="7"/>
        <v>2.8473528904766246E-2</v>
      </c>
      <c r="BF13" s="1">
        <f t="shared" si="7"/>
        <v>7.8024308177931725E-2</v>
      </c>
      <c r="BG13" s="1">
        <f t="shared" si="7"/>
        <v>3.6868244511087389E-2</v>
      </c>
    </row>
    <row r="14" spans="1:59" ht="15" customHeight="1" x14ac:dyDescent="0.25">
      <c r="B14" s="6" t="s">
        <v>52</v>
      </c>
      <c r="C14" s="23" t="s">
        <v>53</v>
      </c>
      <c r="D14" s="6" t="s">
        <v>39</v>
      </c>
      <c r="E14" s="6" t="s">
        <v>40</v>
      </c>
      <c r="F14" s="24">
        <v>0.49667624769873903</v>
      </c>
      <c r="G14" s="7">
        <v>-1.00962233975022</v>
      </c>
      <c r="H14" s="7">
        <v>2.6404147960613699E-2</v>
      </c>
      <c r="I14" s="7">
        <v>2.65720993988545E-2</v>
      </c>
      <c r="K14" s="7">
        <v>1.86705520744029E-2</v>
      </c>
      <c r="L14" s="7">
        <v>1.8789311675293002E-2</v>
      </c>
      <c r="AH14" s="8">
        <v>2</v>
      </c>
      <c r="AI14" s="9">
        <v>23.166340587552401</v>
      </c>
      <c r="AJ14" s="7">
        <v>8.0871892464881204E-2</v>
      </c>
      <c r="AK14" s="7">
        <v>5.71850635693067E-2</v>
      </c>
      <c r="AL14" s="20"/>
      <c r="AM14" s="20" t="s">
        <v>65</v>
      </c>
      <c r="AN14" s="29">
        <v>4.0754713991154699</v>
      </c>
      <c r="AO14" s="29">
        <v>8.6861894953331404</v>
      </c>
      <c r="AP14" s="29">
        <v>30.919403754295299</v>
      </c>
      <c r="AQ14" s="30">
        <v>0.107597999406032</v>
      </c>
      <c r="AR14" s="29">
        <v>9.0107456672953098E-2</v>
      </c>
      <c r="AS14" s="30">
        <v>9.4231653566299201E-2</v>
      </c>
      <c r="AU14" s="1">
        <f>AN14/AN5</f>
        <v>3.4652023650945694</v>
      </c>
      <c r="AV14" s="1">
        <f t="shared" ref="AV14:AZ14" si="8">AO14/AO5</f>
        <v>9.3640288667958966</v>
      </c>
      <c r="AW14" s="1">
        <f t="shared" si="8"/>
        <v>45.126416583239283</v>
      </c>
      <c r="AX14" s="1">
        <f t="shared" si="8"/>
        <v>0.18984207319815841</v>
      </c>
      <c r="AY14" s="1">
        <f t="shared" si="8"/>
        <v>0.10262983556373464</v>
      </c>
      <c r="AZ14" s="1">
        <f t="shared" si="8"/>
        <v>4.0094201873860355E-2</v>
      </c>
      <c r="BB14" s="1">
        <f>AU14/$AU$13</f>
        <v>1.4714257187253832</v>
      </c>
      <c r="BC14" s="1">
        <f t="shared" si="7"/>
        <v>3.9762390341997698</v>
      </c>
      <c r="BD14" s="1">
        <f t="shared" si="7"/>
        <v>19.161989101517243</v>
      </c>
      <c r="BE14" s="1">
        <f t="shared" si="7"/>
        <v>8.0612466334933255E-2</v>
      </c>
      <c r="BF14" s="1">
        <f t="shared" si="7"/>
        <v>4.3579613438511217E-2</v>
      </c>
      <c r="BG14" s="1">
        <f t="shared" si="7"/>
        <v>1.7025164360741606E-2</v>
      </c>
    </row>
    <row r="15" spans="1:59" ht="15" customHeight="1" x14ac:dyDescent="0.25">
      <c r="B15" s="6" t="s">
        <v>52</v>
      </c>
      <c r="C15" s="23" t="s">
        <v>53</v>
      </c>
      <c r="D15" s="6" t="s">
        <v>41</v>
      </c>
      <c r="E15" s="6" t="s">
        <v>40</v>
      </c>
      <c r="F15" s="24">
        <v>0.39538755947888399</v>
      </c>
      <c r="G15" s="7">
        <v>-1.3386606162341901</v>
      </c>
      <c r="H15" s="7">
        <v>1.1530117126638199E-2</v>
      </c>
      <c r="I15" s="7">
        <v>1.19522463324905E-2</v>
      </c>
      <c r="K15" s="7">
        <v>8.1530240081210403E-3</v>
      </c>
      <c r="L15" s="7">
        <v>8.4515144321160394E-3</v>
      </c>
      <c r="AH15" s="8">
        <v>2</v>
      </c>
      <c r="AI15" s="9">
        <v>23.5132936477914</v>
      </c>
      <c r="AJ15" s="7">
        <v>4.4361840731472001E-2</v>
      </c>
      <c r="AK15" s="7">
        <v>3.1368558407141499E-2</v>
      </c>
    </row>
    <row r="16" spans="1:59" ht="15" customHeight="1" x14ac:dyDescent="0.25">
      <c r="B16" s="6" t="s">
        <v>52</v>
      </c>
      <c r="C16" s="23" t="s">
        <v>53</v>
      </c>
      <c r="D16" s="6" t="s">
        <v>42</v>
      </c>
      <c r="E16" s="6" t="s">
        <v>40</v>
      </c>
      <c r="F16" s="24">
        <v>0.94513127216825699</v>
      </c>
      <c r="G16" s="7">
        <v>-8.1413371317289096E-2</v>
      </c>
      <c r="H16" s="7">
        <v>5.0661336835632195E-4</v>
      </c>
      <c r="I16" s="7">
        <v>6.8275414443421105E-4</v>
      </c>
      <c r="K16" s="7">
        <v>3.5822974820451403E-4</v>
      </c>
      <c r="L16" s="7">
        <v>4.8278008541265003E-4</v>
      </c>
      <c r="AH16" s="8">
        <v>2</v>
      </c>
      <c r="AI16" s="9">
        <v>22.187594450232702</v>
      </c>
      <c r="AJ16" s="7">
        <v>8.1542374186272296E-4</v>
      </c>
      <c r="AK16" s="7">
        <v>5.7659165741163999E-4</v>
      </c>
      <c r="AO16" s="13"/>
    </row>
    <row r="17" spans="2:41" ht="15" customHeight="1" x14ac:dyDescent="0.25">
      <c r="B17" s="6" t="s">
        <v>52</v>
      </c>
      <c r="C17" s="23" t="s">
        <v>53</v>
      </c>
      <c r="D17" s="6" t="s">
        <v>43</v>
      </c>
      <c r="E17" s="6" t="s">
        <v>40</v>
      </c>
      <c r="F17" s="24">
        <v>0.93541439823620598</v>
      </c>
      <c r="G17" s="7">
        <v>-9.6322459476559E-2</v>
      </c>
      <c r="H17" s="7">
        <v>2.7219206786064799E-2</v>
      </c>
      <c r="I17" s="7">
        <v>2.7224482921191399E-2</v>
      </c>
      <c r="K17" s="7">
        <v>1.9246885696945298E-2</v>
      </c>
      <c r="L17" s="7">
        <v>1.92506164878718E-2</v>
      </c>
      <c r="AH17" s="8">
        <v>2</v>
      </c>
      <c r="AI17" s="9">
        <v>22.203315277054202</v>
      </c>
      <c r="AJ17" s="7">
        <v>4.4265997412058999E-2</v>
      </c>
      <c r="AK17" s="7">
        <v>3.1300786946053101E-2</v>
      </c>
      <c r="AO17" s="13"/>
    </row>
    <row r="18" spans="2:41" ht="15" customHeight="1" x14ac:dyDescent="0.25">
      <c r="B18" s="6" t="s">
        <v>52</v>
      </c>
      <c r="C18" s="23" t="s">
        <v>53</v>
      </c>
      <c r="D18" s="6" t="s">
        <v>44</v>
      </c>
      <c r="E18" s="6" t="s">
        <v>40</v>
      </c>
      <c r="F18" s="24">
        <v>0.93218520886422696</v>
      </c>
      <c r="G18" s="7">
        <v>-0.101311473307999</v>
      </c>
      <c r="H18" s="7">
        <v>6.1939014395711199E-3</v>
      </c>
      <c r="I18" s="7">
        <v>6.21932505030387E-3</v>
      </c>
      <c r="K18" s="7">
        <v>4.3797497099218596E-3</v>
      </c>
      <c r="L18" s="7">
        <v>4.3977269174732296E-3</v>
      </c>
      <c r="AH18" s="8">
        <v>2</v>
      </c>
      <c r="AI18" s="9">
        <v>22.208575922213399</v>
      </c>
      <c r="AJ18" s="7">
        <v>1.0107899669853E-2</v>
      </c>
      <c r="AK18" s="7">
        <v>7.1473644001063298E-3</v>
      </c>
    </row>
    <row r="19" spans="2:41" ht="15" customHeight="1" x14ac:dyDescent="0.25">
      <c r="B19" s="6" t="s">
        <v>52</v>
      </c>
      <c r="C19" s="23" t="s">
        <v>53</v>
      </c>
      <c r="D19" s="6" t="s">
        <v>45</v>
      </c>
      <c r="E19" s="6" t="s">
        <v>40</v>
      </c>
      <c r="F19" s="24">
        <v>0.92080036278994803</v>
      </c>
      <c r="G19" s="7">
        <v>-0.119039693003714</v>
      </c>
      <c r="H19" s="7">
        <v>8.30821428770309E-3</v>
      </c>
      <c r="I19" s="7">
        <v>8.3337595259801705E-3</v>
      </c>
      <c r="K19" s="7">
        <v>5.8747946623858198E-3</v>
      </c>
      <c r="L19" s="7">
        <v>5.8928578735985603E-3</v>
      </c>
      <c r="AH19" s="8">
        <v>2</v>
      </c>
      <c r="AI19" s="9">
        <v>22.227269370713501</v>
      </c>
      <c r="AJ19" s="7">
        <v>1.3725906857146201E-2</v>
      </c>
      <c r="AK19" s="7">
        <v>9.7056818166230095E-3</v>
      </c>
    </row>
    <row r="20" spans="2:41" ht="15" customHeight="1" x14ac:dyDescent="0.25">
      <c r="B20" s="6" t="s">
        <v>52</v>
      </c>
      <c r="C20" s="23" t="s">
        <v>53</v>
      </c>
      <c r="D20" s="6" t="s">
        <v>46</v>
      </c>
      <c r="E20" s="6" t="s">
        <v>40</v>
      </c>
      <c r="F20" s="24">
        <v>1.9428233020187899</v>
      </c>
      <c r="G20" s="7">
        <v>0.95815469511095896</v>
      </c>
      <c r="H20" s="7">
        <v>7.6819979342900205E-2</v>
      </c>
      <c r="I20" s="7">
        <v>7.7613933503340796E-2</v>
      </c>
      <c r="K20" s="7">
        <v>5.4319928323975197E-2</v>
      </c>
      <c r="L20" s="7">
        <v>5.4881338694773997E-2</v>
      </c>
      <c r="AH20" s="8">
        <v>2</v>
      </c>
      <c r="AI20" s="9">
        <v>21.091426169058501</v>
      </c>
      <c r="AJ20" s="7">
        <v>6.0150566527539799E-2</v>
      </c>
      <c r="AK20" s="7">
        <v>4.2532873483835901E-2</v>
      </c>
    </row>
    <row r="21" spans="2:41" ht="15" customHeight="1" x14ac:dyDescent="0.25">
      <c r="B21" s="6" t="s">
        <v>52</v>
      </c>
      <c r="C21" s="23" t="s">
        <v>53</v>
      </c>
      <c r="D21" s="6" t="s">
        <v>47</v>
      </c>
      <c r="E21" s="6" t="s">
        <v>40</v>
      </c>
      <c r="F21" s="24">
        <v>2.35179237281675</v>
      </c>
      <c r="G21" s="7">
        <v>1.2337606979592499</v>
      </c>
      <c r="H21" s="7">
        <v>1.34652273169922E-2</v>
      </c>
      <c r="I21" s="7">
        <v>2.18907555113509E-2</v>
      </c>
      <c r="K21" s="7">
        <v>9.5213535460635206E-3</v>
      </c>
      <c r="L21" s="7">
        <v>1.5479101667372999E-2</v>
      </c>
      <c r="AH21" s="8">
        <v>2</v>
      </c>
      <c r="AI21" s="9">
        <v>20.800814550464398</v>
      </c>
      <c r="AJ21" s="7">
        <v>8.7099076783342805E-3</v>
      </c>
      <c r="AK21" s="7">
        <v>6.1588347828589402E-3</v>
      </c>
    </row>
    <row r="22" spans="2:41" ht="15" customHeight="1" x14ac:dyDescent="0.25">
      <c r="B22" s="6" t="s">
        <v>52</v>
      </c>
      <c r="C22" s="23" t="s">
        <v>53</v>
      </c>
      <c r="D22" s="6" t="s">
        <v>48</v>
      </c>
      <c r="E22" s="6" t="s">
        <v>40</v>
      </c>
      <c r="F22" s="24">
        <v>2.20247263963063</v>
      </c>
      <c r="G22" s="7">
        <v>1.13912409727764</v>
      </c>
      <c r="H22" s="7">
        <v>5.9444382934592803E-2</v>
      </c>
      <c r="I22" s="7">
        <v>6.12891245166267E-2</v>
      </c>
      <c r="K22" s="7">
        <v>4.2033526276500401E-2</v>
      </c>
      <c r="L22" s="7">
        <v>4.3337955558693401E-2</v>
      </c>
      <c r="AH22" s="8">
        <v>2</v>
      </c>
      <c r="AI22" s="9">
        <v>20.9006037256569</v>
      </c>
      <c r="AJ22" s="7">
        <v>4.1058127677303102E-2</v>
      </c>
      <c r="AK22" s="7">
        <v>2.9032480503444098E-2</v>
      </c>
    </row>
    <row r="23" spans="2:41" ht="15" customHeight="1" x14ac:dyDescent="0.25">
      <c r="B23" s="6" t="s">
        <v>52</v>
      </c>
      <c r="C23" s="23" t="s">
        <v>53</v>
      </c>
      <c r="D23" s="6" t="s">
        <v>49</v>
      </c>
      <c r="E23" s="6" t="s">
        <v>40</v>
      </c>
      <c r="F23" s="24">
        <v>1.98243814244578</v>
      </c>
      <c r="G23" s="7">
        <v>0.98727585055523803</v>
      </c>
      <c r="H23" s="7">
        <v>0.22039325703058599</v>
      </c>
      <c r="I23" s="7">
        <v>0.220700545026523</v>
      </c>
      <c r="K23" s="7">
        <v>0.15584156657411699</v>
      </c>
      <c r="L23" s="7">
        <v>0.156058851999821</v>
      </c>
      <c r="AH23" s="8">
        <v>2</v>
      </c>
      <c r="AI23" s="9">
        <v>21.060719486215898</v>
      </c>
      <c r="AJ23" s="7">
        <v>0.1691209843833</v>
      </c>
      <c r="AK23" s="7">
        <v>0.119586594898376</v>
      </c>
    </row>
    <row r="24" spans="2:41" ht="15" customHeight="1" x14ac:dyDescent="0.25">
      <c r="B24" s="6" t="s">
        <v>52</v>
      </c>
      <c r="C24" s="23" t="s">
        <v>53</v>
      </c>
      <c r="D24" s="6" t="s">
        <v>50</v>
      </c>
      <c r="E24" s="6" t="s">
        <v>40</v>
      </c>
      <c r="F24" s="24">
        <v>0.53405802082504705</v>
      </c>
      <c r="G24" s="7">
        <v>-0.90493160801309203</v>
      </c>
      <c r="H24" s="7">
        <v>1.05796501394249E-2</v>
      </c>
      <c r="I24" s="7">
        <v>1.09632725839002E-2</v>
      </c>
      <c r="K24" s="7">
        <v>7.48094235616852E-3</v>
      </c>
      <c r="L24" s="7">
        <v>7.7522043880724201E-3</v>
      </c>
      <c r="AH24" s="8">
        <v>2</v>
      </c>
      <c r="AI24" s="9">
        <v>23.0559498751314</v>
      </c>
      <c r="AJ24" s="7">
        <v>3.0135729153227001E-2</v>
      </c>
      <c r="AK24" s="7">
        <v>2.1309178440247899E-2</v>
      </c>
    </row>
    <row r="25" spans="2:41" ht="15" customHeight="1" x14ac:dyDescent="0.25">
      <c r="B25" s="6" t="s">
        <v>52</v>
      </c>
      <c r="C25" s="23" t="s">
        <v>53</v>
      </c>
      <c r="D25" s="6" t="s">
        <v>51</v>
      </c>
      <c r="E25" s="6" t="s">
        <v>40</v>
      </c>
      <c r="F25" s="24">
        <v>0.62661093514880495</v>
      </c>
      <c r="G25" s="7">
        <v>-0.67435814811600303</v>
      </c>
      <c r="H25" s="7">
        <v>1.7210818947187002E-2</v>
      </c>
      <c r="I25" s="7">
        <v>1.7393396918771901E-2</v>
      </c>
      <c r="K25" s="7">
        <v>1.21698867873298E-2</v>
      </c>
      <c r="L25" s="7">
        <v>1.2298988909132801E-2</v>
      </c>
      <c r="AH25" s="8">
        <v>2</v>
      </c>
      <c r="AI25" s="9">
        <v>22.812822636635001</v>
      </c>
      <c r="AJ25" s="7">
        <v>4.1783268157599501E-2</v>
      </c>
      <c r="AK25" s="7">
        <v>2.9545232254374599E-2</v>
      </c>
    </row>
    <row r="26" spans="2:41" ht="15" customHeight="1" x14ac:dyDescent="0.25">
      <c r="B26" s="6" t="s">
        <v>54</v>
      </c>
      <c r="C26" s="25" t="s">
        <v>55</v>
      </c>
      <c r="D26" s="6" t="s">
        <v>39</v>
      </c>
      <c r="E26" s="6" t="s">
        <v>40</v>
      </c>
      <c r="F26" s="26">
        <v>1.48728770809744</v>
      </c>
      <c r="G26" s="7">
        <v>0.57268375626441304</v>
      </c>
      <c r="H26" s="7">
        <v>0.29054031988437001</v>
      </c>
      <c r="I26" s="7">
        <v>0.29059064580691002</v>
      </c>
      <c r="K26" s="7">
        <v>0.20544303039834699</v>
      </c>
      <c r="L26" s="7">
        <v>0.20547861619944499</v>
      </c>
      <c r="AH26" s="8">
        <v>2</v>
      </c>
      <c r="AI26" s="9">
        <v>19.177602604298599</v>
      </c>
      <c r="AJ26" s="7">
        <v>0.29036380919626098</v>
      </c>
      <c r="AK26" s="7">
        <v>0.205318218493833</v>
      </c>
    </row>
    <row r="27" spans="2:41" ht="15" customHeight="1" x14ac:dyDescent="0.25">
      <c r="B27" s="6" t="s">
        <v>54</v>
      </c>
      <c r="C27" s="25" t="s">
        <v>55</v>
      </c>
      <c r="D27" s="6" t="s">
        <v>41</v>
      </c>
      <c r="E27" s="6" t="s">
        <v>40</v>
      </c>
      <c r="F27" s="26">
        <v>1.0369139020460201</v>
      </c>
      <c r="G27" s="7">
        <v>5.2296107991077201E-2</v>
      </c>
      <c r="H27" s="7">
        <v>5.6547156559791402E-3</v>
      </c>
      <c r="I27" s="7">
        <v>5.6651876038540001E-3</v>
      </c>
      <c r="K27" s="7">
        <v>3.9984877860245903E-3</v>
      </c>
      <c r="L27" s="7">
        <v>4.0058925713791398E-3</v>
      </c>
      <c r="AH27" s="8">
        <v>2</v>
      </c>
      <c r="AI27" s="9">
        <v>19.713749140145101</v>
      </c>
      <c r="AJ27" s="7">
        <v>8.1058607334662195E-3</v>
      </c>
      <c r="AK27" s="7">
        <v>5.7317090919877202E-3</v>
      </c>
    </row>
    <row r="28" spans="2:41" ht="15" customHeight="1" x14ac:dyDescent="0.25">
      <c r="B28" s="6" t="s">
        <v>54</v>
      </c>
      <c r="C28" s="25" t="s">
        <v>55</v>
      </c>
      <c r="D28" s="6" t="s">
        <v>42</v>
      </c>
      <c r="E28" s="6" t="s">
        <v>40</v>
      </c>
      <c r="F28" s="26">
        <v>0.63368517464453999</v>
      </c>
      <c r="G28" s="7">
        <v>-0.65816183147331497</v>
      </c>
      <c r="H28" s="7">
        <v>0.120594733179546</v>
      </c>
      <c r="I28" s="7">
        <v>0.120623803368596</v>
      </c>
      <c r="K28" s="7">
        <v>8.5273353606639596E-2</v>
      </c>
      <c r="L28" s="7">
        <v>8.5293909334446805E-2</v>
      </c>
      <c r="AH28" s="8">
        <v>2</v>
      </c>
      <c r="AI28" s="9">
        <v>20.445721861581401</v>
      </c>
      <c r="AJ28" s="7">
        <v>0.28286932733268</v>
      </c>
      <c r="AK28" s="7">
        <v>0.20001881954661599</v>
      </c>
    </row>
    <row r="29" spans="2:41" ht="15" customHeight="1" x14ac:dyDescent="0.25">
      <c r="B29" s="6" t="s">
        <v>54</v>
      </c>
      <c r="C29" s="25" t="s">
        <v>55</v>
      </c>
      <c r="D29" s="6" t="s">
        <v>43</v>
      </c>
      <c r="E29" s="6" t="s">
        <v>40</v>
      </c>
      <c r="F29" s="26">
        <v>1.03562105333264</v>
      </c>
      <c r="G29" s="7">
        <v>5.0496199464085803E-2</v>
      </c>
      <c r="H29" s="7">
        <v>3.9504119548593002E-2</v>
      </c>
      <c r="I29" s="7">
        <v>3.9505514904931802E-2</v>
      </c>
      <c r="K29" s="7">
        <v>2.7933630817614099E-2</v>
      </c>
      <c r="L29" s="7">
        <v>2.7934617483543499E-2</v>
      </c>
      <c r="AH29" s="8">
        <v>2</v>
      </c>
      <c r="AI29" s="9">
        <v>19.715603555262</v>
      </c>
      <c r="AJ29" s="7">
        <v>5.6698631878700403E-2</v>
      </c>
      <c r="AK29" s="7">
        <v>4.0091987085428799E-2</v>
      </c>
    </row>
    <row r="30" spans="2:41" ht="15" customHeight="1" x14ac:dyDescent="0.25">
      <c r="B30" s="6" t="s">
        <v>54</v>
      </c>
      <c r="C30" s="25" t="s">
        <v>55</v>
      </c>
      <c r="D30" s="6" t="s">
        <v>44</v>
      </c>
      <c r="E30" s="6" t="s">
        <v>40</v>
      </c>
      <c r="F30" s="26">
        <v>0.67813849575177199</v>
      </c>
      <c r="G30" s="7">
        <v>-0.560348150833059</v>
      </c>
      <c r="H30" s="7">
        <v>2.7005802708885598E-2</v>
      </c>
      <c r="I30" s="7">
        <v>2.7113361931391199E-2</v>
      </c>
      <c r="K30" s="7">
        <v>1.9095986226839098E-2</v>
      </c>
      <c r="L30" s="7">
        <v>1.91720420824519E-2</v>
      </c>
      <c r="AH30" s="8">
        <v>2</v>
      </c>
      <c r="AI30" s="9">
        <v>20.344946091426799</v>
      </c>
      <c r="AJ30" s="7">
        <v>5.91929187903373E-2</v>
      </c>
      <c r="AK30" s="7">
        <v>4.18557142748721E-2</v>
      </c>
    </row>
    <row r="31" spans="2:41" ht="15" customHeight="1" x14ac:dyDescent="0.25">
      <c r="B31" s="6" t="s">
        <v>54</v>
      </c>
      <c r="C31" s="25" t="s">
        <v>55</v>
      </c>
      <c r="D31" s="6" t="s">
        <v>45</v>
      </c>
      <c r="E31" s="6" t="s">
        <v>40</v>
      </c>
      <c r="F31" s="26">
        <v>0.66594012222579402</v>
      </c>
      <c r="G31" s="7">
        <v>-0.58653563118158203</v>
      </c>
      <c r="H31" s="7">
        <v>7.8062246354812896E-3</v>
      </c>
      <c r="I31" s="7">
        <v>8.1907001747839794E-3</v>
      </c>
      <c r="K31" s="7">
        <v>5.5198343752143001E-3</v>
      </c>
      <c r="L31" s="7">
        <v>5.7916996362555899E-3</v>
      </c>
      <c r="AH31" s="8">
        <v>2</v>
      </c>
      <c r="AI31" s="9">
        <v>20.371926606660001</v>
      </c>
      <c r="AJ31" s="7">
        <v>1.7423561256271002E-2</v>
      </c>
      <c r="AK31" s="7">
        <v>1.2320318316728401E-2</v>
      </c>
    </row>
    <row r="32" spans="2:41" ht="15" customHeight="1" x14ac:dyDescent="0.25">
      <c r="B32" s="6" t="s">
        <v>54</v>
      </c>
      <c r="C32" s="25" t="s">
        <v>55</v>
      </c>
      <c r="D32" s="6" t="s">
        <v>46</v>
      </c>
      <c r="E32" s="6" t="s">
        <v>40</v>
      </c>
      <c r="F32" s="26">
        <v>0.85716236686513403</v>
      </c>
      <c r="G32" s="7">
        <v>-0.22235958403398301</v>
      </c>
      <c r="H32" s="7">
        <v>9.6449235734528405E-2</v>
      </c>
      <c r="I32" s="7">
        <v>9.6456827417679705E-2</v>
      </c>
      <c r="K32" s="7">
        <v>6.8199908628144901E-2</v>
      </c>
      <c r="L32" s="7">
        <v>6.8205276758781797E-2</v>
      </c>
      <c r="AH32" s="8">
        <v>2</v>
      </c>
      <c r="AI32" s="9">
        <v>19.9967222243802</v>
      </c>
      <c r="AJ32" s="7">
        <v>0.16725024349422399</v>
      </c>
      <c r="AK32" s="7">
        <v>0.11826378132986699</v>
      </c>
    </row>
    <row r="33" spans="1:38" ht="15" customHeight="1" x14ac:dyDescent="0.25">
      <c r="B33" s="6" t="s">
        <v>54</v>
      </c>
      <c r="C33" s="25" t="s">
        <v>55</v>
      </c>
      <c r="D33" s="6" t="s">
        <v>47</v>
      </c>
      <c r="E33" s="6" t="s">
        <v>40</v>
      </c>
      <c r="F33" s="26">
        <v>1.54445912853553</v>
      </c>
      <c r="G33" s="7">
        <v>0.62710169301844998</v>
      </c>
      <c r="H33" s="7">
        <v>3.40832314888357E-2</v>
      </c>
      <c r="I33" s="7">
        <v>3.4633547372815897E-2</v>
      </c>
      <c r="K33" s="7">
        <v>2.4100484110506599E-2</v>
      </c>
      <c r="L33" s="7">
        <v>2.4489616203863699E-2</v>
      </c>
      <c r="AH33" s="8">
        <v>2</v>
      </c>
      <c r="AI33" s="9">
        <v>19.1215367303768</v>
      </c>
      <c r="AJ33" s="7">
        <v>3.2801628661645703E-2</v>
      </c>
      <c r="AK33" s="7">
        <v>2.31942540606127E-2</v>
      </c>
    </row>
    <row r="34" spans="1:38" ht="15" customHeight="1" x14ac:dyDescent="0.25">
      <c r="B34" s="6" t="s">
        <v>54</v>
      </c>
      <c r="C34" s="25" t="s">
        <v>55</v>
      </c>
      <c r="D34" s="6" t="s">
        <v>48</v>
      </c>
      <c r="E34" s="6" t="s">
        <v>40</v>
      </c>
      <c r="F34" s="26">
        <v>1.0327283711556201</v>
      </c>
      <c r="G34" s="7">
        <v>4.6460845569702397E-2</v>
      </c>
      <c r="H34" s="7">
        <v>1.4155289099131701E-2</v>
      </c>
      <c r="I34" s="7">
        <v>1.4158566982301699E-2</v>
      </c>
      <c r="K34" s="7">
        <v>1.00093009116521E-2</v>
      </c>
      <c r="L34" s="7">
        <v>1.0011618725069499E-2</v>
      </c>
      <c r="AH34" s="8">
        <v>2</v>
      </c>
      <c r="AI34" s="9">
        <v>19.719761111688602</v>
      </c>
      <c r="AJ34" s="7">
        <v>2.0373408768539901E-2</v>
      </c>
      <c r="AK34" s="7">
        <v>1.4406175496119999E-2</v>
      </c>
    </row>
    <row r="35" spans="1:38" ht="15" customHeight="1" x14ac:dyDescent="0.25">
      <c r="B35" s="6" t="s">
        <v>54</v>
      </c>
      <c r="C35" s="25" t="s">
        <v>55</v>
      </c>
      <c r="D35" s="6" t="s">
        <v>49</v>
      </c>
      <c r="E35" s="6" t="s">
        <v>40</v>
      </c>
      <c r="F35" s="26">
        <v>0.94755872408616304</v>
      </c>
      <c r="G35" s="7">
        <v>-7.7712739125973998E-2</v>
      </c>
      <c r="H35" s="7">
        <v>2.0819912307972199E-3</v>
      </c>
      <c r="I35" s="7">
        <v>2.13384248726225E-3</v>
      </c>
      <c r="K35" s="7">
        <v>1.4721901176676399E-3</v>
      </c>
      <c r="L35" s="7">
        <v>1.50885449272711E-3</v>
      </c>
      <c r="AH35" s="8">
        <v>2</v>
      </c>
      <c r="AI35" s="9">
        <v>19.8476950422865</v>
      </c>
      <c r="AJ35" s="7">
        <v>3.2659070852862201E-3</v>
      </c>
      <c r="AK35" s="7">
        <v>2.3093450467310799E-3</v>
      </c>
    </row>
    <row r="36" spans="1:38" ht="15" customHeight="1" x14ac:dyDescent="0.25">
      <c r="B36" s="6" t="s">
        <v>54</v>
      </c>
      <c r="C36" s="25" t="s">
        <v>55</v>
      </c>
      <c r="D36" s="6" t="s">
        <v>50</v>
      </c>
      <c r="E36" s="6" t="s">
        <v>40</v>
      </c>
      <c r="F36" s="26">
        <v>0.75705629803684504</v>
      </c>
      <c r="G36" s="7">
        <v>-0.40152750553696098</v>
      </c>
      <c r="H36" s="7">
        <v>2.1939752960820499E-3</v>
      </c>
      <c r="I36" s="7">
        <v>2.92208578802292E-3</v>
      </c>
      <c r="K36" s="7">
        <v>1.5513748096153801E-3</v>
      </c>
      <c r="L36" s="7">
        <v>2.0662266759198401E-3</v>
      </c>
      <c r="AH36" s="8">
        <v>2</v>
      </c>
      <c r="AI36" s="9">
        <v>20.181315884063299</v>
      </c>
      <c r="AJ36" s="7">
        <v>4.30759257673411E-3</v>
      </c>
      <c r="AK36" s="7">
        <v>3.04592792159752E-3</v>
      </c>
    </row>
    <row r="37" spans="1:38" ht="15" customHeight="1" x14ac:dyDescent="0.25">
      <c r="B37" s="6" t="s">
        <v>54</v>
      </c>
      <c r="C37" s="6" t="s">
        <v>55</v>
      </c>
      <c r="D37" s="6" t="s">
        <v>51</v>
      </c>
      <c r="E37" s="6" t="s">
        <v>40</v>
      </c>
      <c r="F37" s="7">
        <v>0.95551761178171102</v>
      </c>
      <c r="G37" s="7">
        <v>-6.5645630166080396E-2</v>
      </c>
      <c r="H37" s="7">
        <v>1.1865414398458201E-3</v>
      </c>
      <c r="I37" s="7">
        <v>1.2515958778512701E-3</v>
      </c>
      <c r="K37" s="7">
        <v>8.3901149827383199E-4</v>
      </c>
      <c r="L37" s="7">
        <v>8.8501193253376397E-4</v>
      </c>
      <c r="AH37" s="8">
        <v>2</v>
      </c>
      <c r="AI37" s="9">
        <v>19.835262505334502</v>
      </c>
      <c r="AJ37" s="7">
        <v>1.8457602027515099E-3</v>
      </c>
      <c r="AK37" s="7">
        <v>1.30514955580985E-3</v>
      </c>
    </row>
    <row r="38" spans="1:38" ht="15" customHeight="1" x14ac:dyDescent="0.25">
      <c r="B38" s="12" t="s">
        <v>56</v>
      </c>
      <c r="C38" s="12" t="s">
        <v>57</v>
      </c>
      <c r="D38" s="12" t="s">
        <v>39</v>
      </c>
      <c r="E38" s="12" t="s">
        <v>40</v>
      </c>
      <c r="F38" s="29">
        <v>25.191810826470299</v>
      </c>
      <c r="G38" s="13">
        <v>4.6548829238460696</v>
      </c>
      <c r="H38" s="13">
        <v>1.63002861960447</v>
      </c>
      <c r="I38" s="13">
        <v>2.46667432219781</v>
      </c>
      <c r="J38" s="13"/>
      <c r="K38" s="13">
        <v>1.1526042904504701</v>
      </c>
      <c r="L38" s="13">
        <v>1.7442021402048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4">
        <v>2</v>
      </c>
      <c r="AI38" s="15">
        <v>26.174870891569999</v>
      </c>
      <c r="AJ38" s="13">
        <v>0.100795460618015</v>
      </c>
      <c r="AK38" s="13">
        <v>7.1273153715820201E-2</v>
      </c>
      <c r="AL38" s="16"/>
    </row>
    <row r="39" spans="1:38" ht="15" customHeight="1" x14ac:dyDescent="0.25">
      <c r="B39" s="12" t="s">
        <v>56</v>
      </c>
      <c r="C39" s="27" t="s">
        <v>57</v>
      </c>
      <c r="D39" s="12" t="s">
        <v>41</v>
      </c>
      <c r="E39" s="12" t="s">
        <v>40</v>
      </c>
      <c r="F39" s="29">
        <v>30.919403754295299</v>
      </c>
      <c r="G39" s="13">
        <v>4.95044059367744</v>
      </c>
      <c r="H39" s="13">
        <v>1.88586836719474</v>
      </c>
      <c r="I39" s="13">
        <v>3.0653202258441601</v>
      </c>
      <c r="J39" s="13"/>
      <c r="K39" s="13">
        <v>1.3335103108685999</v>
      </c>
      <c r="L39" s="13">
        <v>2.16750871820269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4">
        <v>2</v>
      </c>
      <c r="AI39" s="15">
        <v>25.8557370753899</v>
      </c>
      <c r="AJ39" s="13">
        <v>9.5013517400627606E-2</v>
      </c>
      <c r="AK39" s="13">
        <v>6.7184702458369799E-2</v>
      </c>
      <c r="AL39" s="16"/>
    </row>
    <row r="40" spans="1:38" ht="15" customHeight="1" x14ac:dyDescent="0.25">
      <c r="B40" s="12" t="s">
        <v>56</v>
      </c>
      <c r="C40" s="27" t="s">
        <v>57</v>
      </c>
      <c r="D40" s="12" t="s">
        <v>42</v>
      </c>
      <c r="E40" s="12" t="s">
        <v>40</v>
      </c>
      <c r="F40" s="29">
        <v>8.4872779091841402</v>
      </c>
      <c r="G40" s="13">
        <v>3.0853019181337098</v>
      </c>
      <c r="H40" s="13">
        <v>0.60668965725083301</v>
      </c>
      <c r="I40" s="13">
        <v>0.734155364852351</v>
      </c>
      <c r="J40" s="13"/>
      <c r="K40" s="13">
        <v>0.428994370717806</v>
      </c>
      <c r="L40" s="13">
        <v>0.519126236931582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4">
        <v>2</v>
      </c>
      <c r="AI40" s="15">
        <v>27.869654777377001</v>
      </c>
      <c r="AJ40" s="13">
        <v>0.111353352988738</v>
      </c>
      <c r="AK40" s="13">
        <v>7.87387110061957E-2</v>
      </c>
      <c r="AL40" s="16"/>
    </row>
    <row r="41" spans="1:38" ht="15" customHeight="1" x14ac:dyDescent="0.25">
      <c r="B41" s="12" t="s">
        <v>56</v>
      </c>
      <c r="C41" s="27" t="s">
        <v>57</v>
      </c>
      <c r="D41" s="12" t="s">
        <v>43</v>
      </c>
      <c r="E41" s="12" t="s">
        <v>40</v>
      </c>
      <c r="F41" s="29">
        <v>8.6861894953331404</v>
      </c>
      <c r="G41" s="13">
        <v>3.1187234265421302</v>
      </c>
      <c r="H41" s="13">
        <v>0.17555025907285399</v>
      </c>
      <c r="I41" s="13">
        <v>0.462313808403158</v>
      </c>
      <c r="J41" s="13"/>
      <c r="K41" s="13">
        <v>0.12413277862947</v>
      </c>
      <c r="L41" s="13">
        <v>0.32690522895805102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>
        <v>2</v>
      </c>
      <c r="AI41" s="15">
        <v>27.8335672905358</v>
      </c>
      <c r="AJ41" s="13">
        <v>3.1483086723594601E-2</v>
      </c>
      <c r="AK41" s="13">
        <v>2.2261904114937899E-2</v>
      </c>
      <c r="AL41" s="16"/>
    </row>
    <row r="42" spans="1:38" ht="15" customHeight="1" x14ac:dyDescent="0.25">
      <c r="B42" s="12" t="s">
        <v>56</v>
      </c>
      <c r="C42" s="27" t="s">
        <v>57</v>
      </c>
      <c r="D42" s="12" t="s">
        <v>44</v>
      </c>
      <c r="E42" s="12" t="s">
        <v>40</v>
      </c>
      <c r="F42" s="29">
        <v>2.3442956091442002</v>
      </c>
      <c r="G42" s="13">
        <v>1.2291545010556699</v>
      </c>
      <c r="H42" s="13">
        <v>0.114909367713081</v>
      </c>
      <c r="I42" s="13">
        <v>0.123586892971793</v>
      </c>
      <c r="J42" s="13"/>
      <c r="K42" s="13">
        <v>8.1253193131777895E-2</v>
      </c>
      <c r="L42" s="13">
        <v>8.7389130086130903E-2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>
        <v>2</v>
      </c>
      <c r="AI42" s="15">
        <v>29.873864003085899</v>
      </c>
      <c r="AJ42" s="13">
        <v>7.6356882968263304E-2</v>
      </c>
      <c r="AK42" s="13">
        <v>5.3992469737126597E-2</v>
      </c>
      <c r="AL42" s="16"/>
    </row>
    <row r="43" spans="1:38" ht="15" customHeight="1" x14ac:dyDescent="0.25">
      <c r="B43" s="12" t="s">
        <v>56</v>
      </c>
      <c r="C43" s="27" t="s">
        <v>57</v>
      </c>
      <c r="D43" s="12" t="s">
        <v>45</v>
      </c>
      <c r="E43" s="12" t="s">
        <v>40</v>
      </c>
      <c r="F43" s="29">
        <v>4.0754713991154699</v>
      </c>
      <c r="G43" s="13">
        <v>2.02696694175668</v>
      </c>
      <c r="H43" s="13">
        <v>0.13899562498753301</v>
      </c>
      <c r="I43" s="13">
        <v>0.19060214015074201</v>
      </c>
      <c r="J43" s="13"/>
      <c r="K43" s="13">
        <v>9.8284748983946804E-2</v>
      </c>
      <c r="L43" s="13">
        <v>0.13477606580925799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4">
        <v>2</v>
      </c>
      <c r="AI43" s="15">
        <v>29.012411383899298</v>
      </c>
      <c r="AJ43" s="13">
        <v>5.3128604844809101E-2</v>
      </c>
      <c r="AK43" s="13">
        <v>3.7567596760745003E-2</v>
      </c>
      <c r="AL43" s="16"/>
    </row>
    <row r="44" spans="1:38" ht="15" customHeight="1" x14ac:dyDescent="0.25">
      <c r="B44" s="12" t="s">
        <v>56</v>
      </c>
      <c r="C44" s="27" t="s">
        <v>57</v>
      </c>
      <c r="D44" s="12" t="s">
        <v>46</v>
      </c>
      <c r="E44" s="12" t="s">
        <v>40</v>
      </c>
      <c r="F44" s="29">
        <v>0.15100893002097199</v>
      </c>
      <c r="G44" s="13">
        <v>-2.72729422801229</v>
      </c>
      <c r="H44" s="13">
        <v>1.2855352302265101E-2</v>
      </c>
      <c r="I44" s="13">
        <v>1.4406163770754399E-2</v>
      </c>
      <c r="J44" s="13"/>
      <c r="K44" s="13">
        <v>9.0901067874737604E-3</v>
      </c>
      <c r="L44" s="13">
        <v>1.01866960931844E-2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4">
        <v>2</v>
      </c>
      <c r="AI44" s="15">
        <v>34.145912101682001</v>
      </c>
      <c r="AJ44" s="13">
        <v>0.132613117047676</v>
      </c>
      <c r="AK44" s="13">
        <v>9.3771634338697396E-2</v>
      </c>
      <c r="AL44" s="16"/>
    </row>
    <row r="45" spans="1:38" s="11" customFormat="1" ht="15" customHeight="1" x14ac:dyDescent="0.25">
      <c r="A45" s="4"/>
      <c r="B45" s="12" t="s">
        <v>56</v>
      </c>
      <c r="C45" s="27" t="s">
        <v>57</v>
      </c>
      <c r="D45" s="12" t="s">
        <v>47</v>
      </c>
      <c r="E45" s="12" t="s">
        <v>40</v>
      </c>
      <c r="F45" s="29">
        <v>9.0107456672953098E-2</v>
      </c>
      <c r="G45" s="13">
        <v>-3.4722096912835001</v>
      </c>
      <c r="H45" s="13">
        <v>7.68319194131242E-2</v>
      </c>
      <c r="I45" s="13">
        <v>7.6990537741810999E-2</v>
      </c>
      <c r="J45" s="13"/>
      <c r="K45" s="13">
        <v>5.4328371228598502E-2</v>
      </c>
      <c r="L45" s="13">
        <v>5.4440531324433397E-2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4">
        <v>2</v>
      </c>
      <c r="AI45" s="15">
        <v>34.950248239062503</v>
      </c>
      <c r="AJ45" s="13">
        <v>1.3282691369637201</v>
      </c>
      <c r="AK45" s="13">
        <v>0.939228113987852</v>
      </c>
      <c r="AL45" s="16"/>
    </row>
    <row r="46" spans="1:38" ht="15" customHeight="1" x14ac:dyDescent="0.25">
      <c r="B46" s="6" t="s">
        <v>56</v>
      </c>
      <c r="C46" s="28" t="s">
        <v>57</v>
      </c>
      <c r="D46" s="6" t="s">
        <v>48</v>
      </c>
      <c r="E46" s="6" t="s">
        <v>40</v>
      </c>
      <c r="F46" s="30">
        <v>4.6316558243479501E-2</v>
      </c>
      <c r="G46" s="7">
        <v>-4.4323281382944604</v>
      </c>
      <c r="H46" s="7">
        <v>2.5748459782814901E-2</v>
      </c>
      <c r="I46" s="7">
        <v>2.5951641551264899E-2</v>
      </c>
      <c r="K46" s="7">
        <v>1.8206910517537499E-2</v>
      </c>
      <c r="L46" s="7">
        <v>1.8350581723822E-2</v>
      </c>
      <c r="AH46" s="8">
        <v>2</v>
      </c>
      <c r="AI46" s="9">
        <v>35.986953746161603</v>
      </c>
      <c r="AJ46" s="7">
        <v>0.86600441553756602</v>
      </c>
      <c r="AK46" s="7">
        <v>0.61235759476410601</v>
      </c>
    </row>
    <row r="47" spans="1:38" ht="15" customHeight="1" x14ac:dyDescent="0.25">
      <c r="B47" s="6" t="s">
        <v>56</v>
      </c>
      <c r="C47" s="28" t="s">
        <v>57</v>
      </c>
      <c r="D47" s="6" t="s">
        <v>49</v>
      </c>
      <c r="E47" s="6" t="s">
        <v>40</v>
      </c>
      <c r="F47" s="30">
        <v>0.107597999406032</v>
      </c>
      <c r="G47" s="7">
        <v>-3.2162768410990399</v>
      </c>
      <c r="H47" s="7">
        <v>6.8657976227512896E-3</v>
      </c>
      <c r="I47" s="7">
        <v>8.7743894412819195E-3</v>
      </c>
      <c r="K47" s="7">
        <v>4.8548520573019199E-3</v>
      </c>
      <c r="L47" s="7">
        <v>6.20443027470208E-3</v>
      </c>
      <c r="AH47" s="8">
        <v>2</v>
      </c>
      <c r="AI47" s="9">
        <v>34.673900048836799</v>
      </c>
      <c r="AJ47" s="7">
        <v>9.9401269729414404E-2</v>
      </c>
      <c r="AK47" s="7">
        <v>7.0287311884222006E-2</v>
      </c>
    </row>
    <row r="48" spans="1:38" ht="15" customHeight="1" x14ac:dyDescent="0.25">
      <c r="B48" s="6" t="s">
        <v>56</v>
      </c>
      <c r="C48" s="28" t="s">
        <v>57</v>
      </c>
      <c r="D48" s="6" t="s">
        <v>50</v>
      </c>
      <c r="E48" s="6" t="s">
        <v>40</v>
      </c>
      <c r="F48" s="30">
        <v>0.15978705533201201</v>
      </c>
      <c r="G48" s="7">
        <v>-2.64577755748974</v>
      </c>
      <c r="H48" s="7">
        <v>5.7618515755322099E-2</v>
      </c>
      <c r="I48" s="7">
        <v>5.8003805916011703E-2</v>
      </c>
      <c r="K48" s="7">
        <v>4.0742443212492201E-2</v>
      </c>
      <c r="L48" s="7">
        <v>4.1014884497840298E-2</v>
      </c>
      <c r="AH48" s="8">
        <v>2</v>
      </c>
      <c r="AI48" s="9">
        <v>34.057892981213897</v>
      </c>
      <c r="AJ48" s="7">
        <v>0.56172739412682604</v>
      </c>
      <c r="AK48" s="7">
        <v>0.39720124956532699</v>
      </c>
    </row>
    <row r="49" spans="2:37" ht="15" customHeight="1" x14ac:dyDescent="0.25">
      <c r="B49" s="6" t="s">
        <v>56</v>
      </c>
      <c r="C49" s="28" t="s">
        <v>57</v>
      </c>
      <c r="D49" s="6" t="s">
        <v>51</v>
      </c>
      <c r="E49" s="6" t="s">
        <v>40</v>
      </c>
      <c r="F49" s="30">
        <v>9.4231653566299201E-2</v>
      </c>
      <c r="G49" s="7">
        <v>-3.4076444295936898</v>
      </c>
      <c r="H49" s="7">
        <v>3.5898488628345798E-2</v>
      </c>
      <c r="I49" s="7">
        <v>3.6254682551393497E-2</v>
      </c>
      <c r="K49" s="7">
        <v>2.53840647434515E-2</v>
      </c>
      <c r="L49" s="7">
        <v>2.5635931881855999E-2</v>
      </c>
      <c r="AH49" s="8">
        <v>2</v>
      </c>
      <c r="AI49" s="9">
        <v>34.880532713265097</v>
      </c>
      <c r="AJ49" s="7">
        <v>0.59345047667484496</v>
      </c>
      <c r="AK49" s="7">
        <v>0.419632856355172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Meeus</cp:lastModifiedBy>
  <dcterms:modified xsi:type="dcterms:W3CDTF">2025-10-15T14:41:31Z</dcterms:modified>
</cp:coreProperties>
</file>